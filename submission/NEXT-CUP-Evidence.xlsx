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1b54783d0246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afca94cca72e4d6c"/>
    <x:sheet xmlns:r="http://schemas.openxmlformats.org/officeDocument/2006/relationships" name="AI 실호출" sheetId="2" r:id="Rfa64d605f8f14392"/>
    <x:sheet xmlns:r="http://schemas.openxmlformats.org/officeDocument/2006/relationships" name="선택 결과" sheetId="3" r:id="Rebddb12de91345dd"/>
    <x:sheet xmlns:r="http://schemas.openxmlformats.org/officeDocument/2006/relationships" name="화면 검증" sheetId="4" r:id="R697c6a6bae12417c"/>
    <x:sheet xmlns:r="http://schemas.openxmlformats.org/officeDocument/2006/relationships" name="자동 시험" sheetId="5" r:id="R2c5af74e958d4ebd"/>
    <x:sheet xmlns:r="http://schemas.openxmlformats.org/officeDocument/2006/relationships" name="메뉴 사례" sheetId="6" r:id="R51a1fe95c885421e"/>
    <x:sheet xmlns:r="http://schemas.openxmlformats.org/officeDocument/2006/relationships" name="조사 출처" sheetId="7" r:id="R1fbb28dd01a74dcd"/>
    <x:sheet xmlns:r="http://schemas.openxmlformats.org/officeDocument/2006/relationships" name="운영 계획" sheetId="8" r:id="Rb06c9805ff0d4d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6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</x:fonts>
  <x:fills count="5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03224"/>
      </x:font>
      <x:fill>
        <x:patternFill patternType="solid">
          <x:bgColor rgb="FFFBE9E7"/>
        </x:patternFill>
      </x:fill>
    </x:dxf>
    <x:dxf>
      <x:fill>
        <x:patternFill patternType="solid"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482eb31dc24c81" /><Relationship Type="http://schemas.openxmlformats.org/officeDocument/2006/relationships/theme" Target="/xl/theme/theme1.xml" Id="R158939f7f496457d" /><Relationship Type="http://schemas.openxmlformats.org/officeDocument/2006/relationships/sharedStrings" Target="/xl/sharedStrings.xml" Id="R8348e66d86434bbb" /><Relationship Type="http://schemas.openxmlformats.org/officeDocument/2006/relationships/worksheet" Target="/xl/worksheets/sheet1.xml" Id="Rafca94cca72e4d6c" /><Relationship Type="http://schemas.openxmlformats.org/officeDocument/2006/relationships/worksheet" Target="/xl/worksheets/sheet2.xml" Id="Rfa64d605f8f14392" /><Relationship Type="http://schemas.openxmlformats.org/officeDocument/2006/relationships/worksheet" Target="/xl/worksheets/sheet3.xml" Id="Rebddb12de91345dd" /><Relationship Type="http://schemas.openxmlformats.org/officeDocument/2006/relationships/worksheet" Target="/xl/worksheets/sheet4.xml" Id="R697c6a6bae12417c" /><Relationship Type="http://schemas.openxmlformats.org/officeDocument/2006/relationships/worksheet" Target="/xl/worksheets/sheet5.xml" Id="R2c5af74e958d4ebd" /><Relationship Type="http://schemas.openxmlformats.org/officeDocument/2006/relationships/worksheet" Target="/xl/worksheets/sheet6.xml" Id="R51a1fe95c885421e" /><Relationship Type="http://schemas.openxmlformats.org/officeDocument/2006/relationships/worksheet" Target="/xl/worksheets/sheet7.xml" Id="R1fbb28dd01a74dcd" /><Relationship Type="http://schemas.openxmlformats.org/officeDocument/2006/relationships/worksheet" Target="/xl/worksheets/sheet8.xml" Id="Rb06c9805ff0d4d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/ 조건에 맞는 후보와 추천 보류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기준일 2026-10-07 / 기억 입력 → 취향 확인 → 대안 또는 보류 → 남은 요구 기록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근거</x:v>
      </x:c>
      <x:c r="B6" s="7" t="str">
        <x:v>검사 항목</x:v>
      </x:c>
      <x:c r="C6" s="7" t="str">
        <x:v>결과</x:v>
      </x:c>
      <x:c r="D6" s="7" t="str">
        <x:v>해석 범위</x:v>
      </x:c>
    </x:row>
    <x:row r="7" ht="64" customHeight="1">
      <x:c r="A7" s="8" t="str">
        <x:v>T01</x:v>
      </x:c>
      <x:c r="B7" s="8" t="str">
        <x:v>자동 검사 통과</x:v>
      </x:c>
      <x:c r="C7" s="15" t="n">
        <x:f>COUNTIF('자동 시험'!C7:C102,"통과")</x:f>
        <x:v>96</x:v>
      </x:c>
      <x:c r="D7" s="8" t="str">
        <x:v>지정된 소프트웨어 동작 검사, 이용자 수가 아님</x:v>
      </x:c>
    </x:row>
    <x:row r="8" ht="64" customHeight="1">
      <x:c r="A8" s="3" t="str">
        <x:v>H01</x:v>
      </x:c>
      <x:c r="B8" s="3" t="str">
        <x:v>새 표현 실제 호출 수</x:v>
      </x:c>
      <x:c r="C8" s="16" t="n">
        <x:f>COUNT('AI 실호출'!E7:E30)</x:f>
        <x:v>24</x:v>
      </x:c>
      <x:c r="D8" s="3" t="str">
        <x:v>합성 입력 12개, 각 2회</x:v>
      </x:c>
    </x:row>
    <x:row r="9" ht="64" customHeight="1">
      <x:c r="A9" s="8" t="str">
        <x:v>H01</x:v>
      </x:c>
      <x:c r="B9" s="8" t="str">
        <x:v>조건 완전 일치</x:v>
      </x:c>
      <x:c r="C9" s="15" t="n">
        <x:f>SUM('AI 실호출'!E7:E30)</x:f>
        <x:v>22</x:v>
      </x:c>
      <x:c r="D9" s="8" t="str">
        <x:v>선호/비선호/필수 여부 전부 일치</x:v>
      </x:c>
    </x:row>
    <x:row r="10" ht="64" customHeight="1">
      <x:c r="A10" s="3" t="str">
        <x:v>H01</x:v>
      </x:c>
      <x:c r="B10" s="3" t="str">
        <x:v>후보 ID 일치</x:v>
      </x:c>
      <x:c r="C10" s="16" t="n">
        <x:f>SUM('AI 실호출'!F7:F30)</x:f>
        <x:v>24</x:v>
      </x:c>
      <x:c r="D10" s="3" t="str">
        <x:v>필수 미확인은 시험에서만 필수 아님으로 가정</x:v>
      </x:c>
    </x:row>
    <x:row r="11" ht="64" customHeight="1">
      <x:c r="A11" s="8" t="str">
        <x:v>H01</x:v>
      </x:c>
      <x:c r="B11" s="8" t="str">
        <x:v>평균 시간(초)</x:v>
      </x:c>
      <x:c r="C11" s="17" t="n">
        <x:f>AVERAGE('AI 실호출'!H7:H30)</x:f>
        <x:v>3.717916666666667</x:v>
      </x:c>
      <x:c r="D11" s="8" t="str">
        <x:v>서버 관측, 종전 시험과 개선율 비교 불가</x:v>
      </x:c>
    </x:row>
    <x:row r="12" ht="64" customHeight="1">
      <x:c r="A12" s="3" t="str">
        <x:v>H01</x:v>
      </x:c>
      <x:c r="B12" s="3" t="str">
        <x:v>95백분위(초)</x:v>
      </x:c>
      <x:c r="C12" s="18" t="n">
        <x:f>SMALL('AI 실호출'!H7:H30,ROUNDUP(0.95*COUNT('AI 실호출'!H7:H30),0))</x:f>
        <x:v>9.943</x:v>
      </x:c>
      <x:c r="D12" s="3" t="str">
        <x:v>오름차순 23번째 값, nearest rank</x:v>
      </x:c>
    </x:row>
    <x:row r="13" ht="64" customHeight="1">
      <x:c r="A13" s="8" t="str">
        <x:v>D01</x:v>
      </x:c>
      <x:c r="B13" s="8" t="str">
        <x:v>이전 후보 일치</x:v>
      </x:c>
      <x:c r="C13" s="15" t="n">
        <x:f>SUM('선택 결과'!F7:F18)</x:f>
        <x:v>9</x:v>
      </x:c>
      <x:c r="D13" s="8" t="str">
        <x:v>같은 확인 입력 12건, 기존 c5f0ae5</x:v>
      </x:c>
    </x:row>
    <x:row r="14" ht="64" customHeight="1">
      <x:c r="A14" s="3" t="str">
        <x:v>D01</x:v>
      </x:c>
      <x:c r="B14" s="3" t="str">
        <x:v>수정 후보 일치</x:v>
      </x:c>
      <x:c r="C14" s="16" t="n">
        <x:f>SUM('선택 결과'!G7:G18)</x:f>
        <x:v>12</x:v>
      </x:c>
      <x:c r="D14" s="3" t="str">
        <x:v>바닐라 누락 1건, 초콜릿 제외 누락 2건 수정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검증'!C7:C19,"통과")</x:f>
        <x:v>13</x:v>
      </x:c>
      <x:c r="D15" s="8" t="str">
        <x:v>자동 브라우저 검사, 외부 이용자 아님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실제 경험은 문제 정의에 사용, 만족도 미측정</x:v>
      </x:c>
    </x:row>
    <x:row r="17" ht="64" customHeight="1">
      <x:c r="A17" s="8" t="str">
        <x:v>M01</x:v>
      </x:c>
      <x:c r="B17" s="8" t="str">
        <x:v>정기 실행 근거</x:v>
      </x:c>
      <x:c r="C17" s="15" t="n">
        <x:f>COUNTIF('운영 계획'!E7:E10,"기록 있음")</x:f>
        <x:v>0</x:v>
      </x:c>
      <x:c r="D17" s="8" t="str">
        <x:v>예약은 실적에 포함하지 않음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새 표현 12개를 두 번씩 실제 호출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H04 두 회 실패를 유지합니다. 쌀 필수는 맞았지만 선호 rice가 비었습니다. 일반 정확도나 고객 만족도가 아닙니다.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합성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근거 파일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https://github.com/jhheo51-arch/next-cup-ai-portfolio/blob/main/evidence/heldout-result-v1.json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https://github.com/jhheo51-arch/next-cup-ai-portfolio/blob/main/evidence/heldout-result-v1.json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https://github.com/jhheo51-arch/next-cup-ai-portfolio/blob/main/evidence/heldout-result-v1.json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https://github.com/jhheo51-arch/next-cup-ai-portfolio/blob/main/evidence/heldout-result-v1.json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https://github.com/jhheo51-arch/next-cup-ai-portfolio/blob/main/evidence/heldout-result-v1.json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https://github.com/jhheo51-arch/next-cup-ai-portfolio/blob/main/evidence/heldout-result-v1.json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https://github.com/jhheo51-arch/next-cup-ai-portfolio/blob/main/evidence/heldout-result-v1.json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https://github.com/jhheo51-arch/next-cup-ai-portfolio/blob/main/evidence/heldout-result-v1.json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https://github.com/jhheo51-arch/next-cup-ai-portfolio/blob/main/evidence/heldout-result-v1.json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https://github.com/jhheo51-arch/next-cup-ai-portfolio/blob/main/evidence/heldout-result-v1.json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https://github.com/jhheo51-arch/next-cup-ai-portfolio/blob/main/evidence/heldout-result-v1.json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https://github.com/jhheo51-arch/next-cup-ai-portfolio/blob/main/evidence/heldout-result-v1.json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https://github.com/jhheo51-arch/next-cup-ai-portfolio/blob/main/evidence/heldout-result-v1.json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https://github.com/jhheo51-arch/next-cup-ai-portfolio/blob/main/evidence/heldout-result-v1.json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https://github.com/jhheo51-arch/next-cup-ai-portfolio/blob/main/evidence/heldout-result-v1.json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https://github.com/jhheo51-arch/next-cup-ai-portfolio/blob/main/evidence/heldout-result-v1.json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https://github.com/jhheo51-arch/next-cup-ai-portfolio/blob/main/evidence/heldout-result-v1.json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https://github.com/jhheo51-arch/next-cup-ai-portfolio/blob/main/evidence/heldout-result-v1.json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https://github.com/jhheo51-arch/next-cup-ai-portfolio/blob/main/evidence/heldout-result-v1.json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https://github.com/jhheo51-arch/next-cup-ai-portfolio/blob/main/evidence/heldout-result-v1.json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https://github.com/jhheo51-arch/next-cup-ai-portfolio/blob/main/evidence/heldout-result-v1.json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https://github.com/jhheo51-arch/next-cup-ai-portfolio/blob/main/evidence/heldout-result-v1.json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https://github.com/jhheo51-arch/next-cup-ai-portfolio/blob/main/evidence/heldout-result-v1.json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https://github.com/jhheo51-arch/next-cup-ai-portfolio/blob/main/evidence/heldout-result-v1.json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같은 확인 입력 / 이전과 수정 후 비교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AI를 호출하지 않는 규칙 비교입니다. 동일 12개 입력, 후보 ID 기준. 출처: evidence/decision-check.json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기억부터 남은 요구 저장까지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별도 실제 AI 호출 1회 / 화면 경과 5.093초 / 24회 호출 시험 분모에 포함하지 않음. evidence/demo/ui-results.json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실제 Gemini 해석을 사람이 적용한 뒤 쌀 필수 yes</x:v>
      </x:c>
      <x:c r="C7" s="8" t="str">
        <x:v>통과</x:v>
      </x:c>
      <x:c r="D7" s="8" t="str">
        <x:v>합성 입력 + 실제 Gemini 1회, 본인 경험의 필수 조건을 확정한 것이 아님</x:v>
      </x:c>
    </x:row>
    <x:row r="8" ht="64" customHeight="1">
      <x:c r="A8" s="3" t="str">
        <x:v>B2</x:v>
      </x:c>
      <x:c r="B8" s="3" t="str">
        <x:v>쌀 필수이면 0개</x:v>
      </x:c>
      <x:c r="C8" s="3" t="str">
        <x:v>통과</x:v>
      </x:c>
      <x:c r="D8" s="3" t="str">
        <x:v>합성 입력 + 실제 Gemini 1회, 본인 경험의 필수 조건을 확정한 것이 아님</x:v>
      </x:c>
    </x:row>
    <x:row r="9" ht="64" customHeight="1">
      <x:c r="A9" s="8" t="str">
        <x:v>B3</x:v>
      </x:c>
      <x:c r="B9" s="8" t="str">
        <x:v>요구 기록으로 조건 전달</x:v>
      </x:c>
      <x:c r="C9" s="8" t="str">
        <x:v>통과</x:v>
      </x:c>
      <x:c r="D9" s="8" t="str">
        <x:v>합성 입력 + 실제 Gemini 1회, 본인 경험의 필수 조건을 확정한 것이 아님</x:v>
      </x:c>
    </x:row>
    <x:row r="10" ht="64" customHeight="1">
      <x:c r="A10" s="3" t="str">
        <x:v>B4</x:v>
      </x:c>
      <x:c r="B10" s="3" t="str">
        <x:v>남은 요구 실제 로컬 저장</x:v>
      </x:c>
      <x:c r="C10" s="3" t="str">
        <x:v>통과</x:v>
      </x:c>
      <x:c r="D10" s="3" t="str">
        <x:v>합성 입력 + 실제 Gemini 1회, 본인 경험의 필수 조건을 확정한 것이 아님</x:v>
      </x:c>
    </x:row>
    <x:row r="11" ht="64" customHeight="1">
      <x:c r="A11" s="8" t="str">
        <x:v>B5</x:v>
      </x:c>
      <x:c r="B11" s="8" t="str">
        <x:v>갈린 얼음, 커피 비선호이면 초콜릿 크림 칩 1개</x:v>
      </x:c>
      <x:c r="C11" s="8" t="str">
        <x:v>통과</x:v>
      </x:c>
      <x:c r="D11" s="8" t="str">
        <x:v>브라우저 자동 시험, 외부 참가자 없음</x:v>
      </x:c>
    </x:row>
    <x:row r="12" ht="64" customHeight="1">
      <x:c r="A12" s="3" t="str">
        <x:v>B6</x:v>
      </x:c>
      <x:c r="B12" s="3" t="str">
        <x:v>바닐라만 선택하면 콜드 브루 1개</x:v>
      </x:c>
      <x:c r="C12" s="3" t="str">
        <x:v>통과</x:v>
      </x:c>
      <x:c r="D12" s="3" t="str">
        <x:v>브라우저 자동 시험, 외부 참가자 없음</x:v>
      </x:c>
    </x:row>
    <x:row r="13" ht="64" customHeight="1">
      <x:c r="A13" s="8" t="str">
        <x:v>B7</x:v>
      </x:c>
      <x:c r="B13" s="8" t="str">
        <x:v>미확인 필수 조건은 직접 확인 요청</x:v>
      </x:c>
      <x:c r="C13" s="8" t="str">
        <x:v>통과</x:v>
      </x:c>
      <x:c r="D13" s="8" t="str">
        <x:v>브라우저 자동 시험, 외부 참가자 없음</x:v>
      </x:c>
    </x:row>
    <x:row r="14" ht="64" customHeight="1">
      <x:c r="A14" s="3" t="str">
        <x:v>B8</x:v>
      </x:c>
      <x:c r="B14" s="3" t="str">
        <x:v>시간 초과 안내와 입력 보존</x:v>
      </x:c>
      <x:c r="C14" s="3" t="str">
        <x:v>통과</x:v>
      </x:c>
      <x:c r="D14" s="3" t="str">
        <x:v>가상 오류/지연 응답으로 화면 처리 확인</x:v>
      </x:c>
    </x:row>
    <x:row r="15" ht="64" customHeight="1">
      <x:c r="A15" s="8" t="str">
        <x:v>B9</x:v>
      </x:c>
      <x:c r="B15" s="8" t="str">
        <x:v>수동 전환 후 늦은 답변 미적용</x:v>
      </x:c>
      <x:c r="C15" s="8" t="str">
        <x:v>통과</x:v>
      </x:c>
      <x:c r="D15" s="8" t="str">
        <x:v>가상 오류/지연 응답으로 화면 처리 확인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브라우저 자동 시험, 외부 참가자 없음</x:v>
      </x:c>
    </x:row>
    <x:row r="17" ht="64" customHeight="1">
      <x:c r="A17" s="8" t="str">
        <x:v>B11</x:v>
      </x:c>
      <x:c r="B17" s="8" t="str">
        <x:v>가로 넘침 없음 768</x:v>
      </x:c>
      <x:c r="C17" s="8" t="str">
        <x:v>통과</x:v>
      </x:c>
      <x:c r="D17" s="8" t="str">
        <x:v>브라우저 자동 시험, 외부 참가자 없음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브라우저 자동 시험, 외부 참가자 없음</x:v>
      </x:c>
    </x:row>
    <x:row r="19" ht="64" customHeight="1">
      <x:c r="A19" s="8" t="str">
        <x:v>B13</x:v>
      </x:c>
      <x:c r="B19" s="8" t="str">
        <x:v>브라우저 실행 오류 없음</x:v>
      </x:c>
      <x:c r="C19" s="8" t="str">
        <x:v>통과</x:v>
      </x:c>
      <x:c r="D19" s="8" t="str">
        <x:v>브라우저 자동 시험, 외부 참가자 없음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자동 검사 96개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 / API 호출 없는 재현 시험 / evidence/tests.tap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공개본: 개인 응답 원문과 개인 컴퓨터 경로 없음</x:v>
      </x:c>
      <x:c r="C42" s="3" t="str">
        <x:v>통과</x:v>
      </x:c>
    </x:row>
    <x:row r="43" ht="38" customHeight="1">
      <x:c r="A43" s="8" t="str">
        <x:v>T37</x:v>
      </x:c>
      <x:c r="B43" s="8" t="str">
        <x:v>쌀 필수는 대안 없음</x:v>
      </x:c>
      <x:c r="C43" s="8" t="str">
        <x:v>통과</x:v>
      </x:c>
    </x:row>
    <x:row r="44" ht="38" customHeight="1">
      <x:c r="A44" s="3" t="str">
        <x:v>T38</x:v>
      </x:c>
      <x:c r="B44" s="3" t="str">
        <x:v>비선호 배제</x:v>
      </x:c>
      <x:c r="C44" s="3" t="str">
        <x:v>통과</x:v>
      </x:c>
    </x:row>
    <x:row r="45" ht="38" customHeight="1">
      <x:c r="A45" s="8" t="str">
        <x:v>T39</x:v>
      </x:c>
      <x:c r="B45" s="8" t="str">
        <x:v>오래된 자료는 제외</x:v>
      </x:c>
      <x:c r="C45" s="8" t="str">
        <x:v>통과</x:v>
      </x:c>
    </x:row>
    <x:row r="46" ht="38" customHeight="1">
      <x:c r="A46" s="3" t="str">
        <x:v>T40</x:v>
      </x:c>
      <x:c r="B46" s="3" t="str">
        <x:v>미래 확인일은 제외</x:v>
      </x:c>
      <x:c r="C46" s="3" t="str">
        <x:v>통과</x:v>
      </x:c>
    </x:row>
    <x:row r="47" ht="38" customHeight="1">
      <x:c r="A47" s="8" t="str">
        <x:v>T41</x:v>
      </x:c>
      <x:c r="B47" s="8" t="str">
        <x:v>보류 후보 제외</x:v>
      </x:c>
      <x:c r="C47" s="8" t="str">
        <x:v>통과</x:v>
      </x:c>
    </x:row>
    <x:row r="48" ht="38" customHeight="1">
      <x:c r="A48" s="3" t="str">
        <x:v>T42</x:v>
      </x:c>
      <x:c r="B48" s="3" t="str">
        <x:v>종료 기간 제외</x:v>
      </x:c>
      <x:c r="C48" s="3" t="str">
        <x:v>통과</x:v>
      </x:c>
    </x:row>
    <x:row r="49" ht="38" customHeight="1">
      <x:c r="A49" s="8" t="str">
        <x:v>T43</x:v>
      </x:c>
      <x:c r="B49" s="8" t="str">
        <x:v>선호와 비선호 충돌 거절</x:v>
      </x:c>
      <x:c r="C49" s="8" t="str">
        <x:v>통과</x:v>
      </x:c>
    </x:row>
    <x:row r="50" ht="38" customHeight="1">
      <x:c r="A50" s="3" t="str">
        <x:v>T44</x:v>
      </x:c>
      <x:c r="B50" s="3" t="str">
        <x:v>임의 태그 거절</x:v>
      </x:c>
      <x:c r="C50" s="3" t="str">
        <x:v>통과</x:v>
      </x:c>
    </x:row>
    <x:row r="51" ht="38" customHeight="1">
      <x:c r="A51" s="8" t="str">
        <x:v>T45</x:v>
      </x:c>
      <x:c r="B51" s="8" t="str">
        <x:v>빈 취향 확인 질문</x:v>
      </x:c>
      <x:c r="C51" s="8" t="str">
        <x:v>통과</x:v>
      </x:c>
    </x:row>
    <x:row r="52" ht="38" customHeight="1">
      <x:c r="A52" s="3" t="str">
        <x:v>T46</x:v>
      </x:c>
      <x:c r="B52" s="3" t="str">
        <x:v>검토 후보의 조건, 신선도 검사</x:v>
      </x:c>
      <x:c r="C52" s="3" t="str">
        <x:v>통과</x:v>
      </x:c>
    </x:row>
    <x:row r="53" ht="38" customHeight="1">
      <x:c r="A53" s="8" t="str">
        <x:v>T47</x:v>
      </x:c>
      <x:c r="B53" s="8" t="str">
        <x:v>초기 실제 평가 0, 평균 미측정</x:v>
      </x:c>
      <x:c r="C53" s="8" t="str">
        <x:v>통과</x:v>
      </x:c>
    </x:row>
    <x:row r="54" ht="38" customHeight="1">
      <x:c r="A54" s="3" t="str">
        <x:v>T48</x:v>
      </x:c>
      <x:c r="B54" s="3" t="str">
        <x:v>동의 없으면 시작 불가</x:v>
      </x:c>
      <x:c r="C54" s="3" t="str">
        <x:v>통과</x:v>
      </x:c>
    </x:row>
    <x:row r="55" ht="38" customHeight="1">
      <x:c r="A55" s="8" t="str">
        <x:v>T49</x:v>
      </x:c>
      <x:c r="B55" s="8" t="str">
        <x:v>다른 사람 평가 접근 불가</x:v>
      </x:c>
      <x:c r="C55" s="8" t="str">
        <x:v>통과</x:v>
      </x:c>
    </x:row>
    <x:row r="56" ht="38" customHeight="1">
      <x:c r="A56" s="3" t="str">
        <x:v>T50</x:v>
      </x:c>
      <x:c r="B56" s="3" t="str">
        <x:v>진행 중 중복 평가 거절</x:v>
      </x:c>
      <x:c r="C56" s="3" t="str">
        <x:v>통과</x:v>
      </x:c>
    </x:row>
    <x:row r="57" ht="38" customHeight="1">
      <x:c r="A57" s="8" t="str">
        <x:v>T51</x:v>
      </x:c>
      <x:c r="B57" s="8" t="str">
        <x:v>미선택 시음 평가 거절 0</x:v>
      </x:c>
      <x:c r="C57" s="8" t="str">
        <x:v>통과</x:v>
      </x:c>
    </x:row>
    <x:row r="58" ht="38" customHeight="1">
      <x:c r="A58" s="3" t="str">
        <x:v>T52</x:v>
      </x:c>
      <x:c r="B58" s="3" t="str">
        <x:v>미선택 시음 평가 거절 1</x:v>
      </x:c>
      <x:c r="C58" s="3" t="str">
        <x:v>통과</x:v>
      </x:c>
    </x:row>
    <x:row r="59" ht="38" customHeight="1">
      <x:c r="A59" s="8" t="str">
        <x:v>T53</x:v>
      </x:c>
      <x:c r="B59" s="8" t="str">
        <x:v>합성 시험은 실제 완료 수에서 제외</x:v>
      </x:c>
      <x:c r="C59" s="8" t="str">
        <x:v>통과</x:v>
      </x:c>
    </x:row>
    <x:row r="60" ht="38" customHeight="1">
      <x:c r="A60" s="3" t="str">
        <x:v>T54</x:v>
      </x:c>
      <x:c r="B60" s="3" t="str">
        <x:v>완료 평가 재작성 거절</x:v>
      </x:c>
      <x:c r="C60" s="3" t="str">
        <x:v>통과</x:v>
      </x:c>
    </x:row>
    <x:row r="61" ht="38" customHeight="1">
      <x:c r="A61" s="8" t="str">
        <x:v>T55</x:v>
      </x:c>
      <x:c r="B61" s="8" t="str">
        <x:v>회원 운영자 기능 차단</x:v>
      </x:c>
      <x:c r="C61" s="8" t="str">
        <x:v>통과</x:v>
      </x:c>
    </x:row>
    <x:row r="62" ht="38" customHeight="1">
      <x:c r="A62" s="3" t="str">
        <x:v>T56</x:v>
      </x:c>
      <x:c r="B62" s="3" t="str">
        <x:v>다른 사례 출처 혼합 거절</x:v>
      </x:c>
      <x:c r="C62" s="3" t="str">
        <x:v>통과</x:v>
      </x:c>
    </x:row>
    <x:row r="63" ht="38" customHeight="1">
      <x:c r="A63" s="8" t="str">
        <x:v>T57</x:v>
      </x:c>
      <x:c r="B63" s="8" t="str">
        <x:v>보류 반영</x:v>
      </x:c>
      <x:c r="C63" s="8" t="str">
        <x:v>통과</x:v>
      </x:c>
    </x:row>
    <x:row r="64" ht="38" customHeight="1">
      <x:c r="A64" s="3" t="str">
        <x:v>T58</x:v>
      </x:c>
      <x:c r="B64" s="3" t="str">
        <x:v>기존 버전 복구, 이력 보존</x:v>
      </x:c>
      <x:c r="C64" s="3" t="str">
        <x:v>통과</x:v>
      </x:c>
    </x:row>
    <x:row r="65" ht="38" customHeight="1">
      <x:c r="A65" s="8" t="str">
        <x:v>T59</x:v>
      </x:c>
      <x:c r="B65" s="8" t="str">
        <x:v>목록 부재를 단종으로 변경 못 함</x:v>
      </x:c>
      <x:c r="C65" s="8" t="str">
        <x:v>통과</x:v>
      </x:c>
    </x:row>
    <x:row r="66" ht="38" customHeight="1">
      <x:c r="A66" s="3" t="str">
        <x:v>T60</x:v>
      </x:c>
      <x:c r="B66" s="3" t="str">
        <x:v>근거 묶음에 개인 응답 없음</x:v>
      </x:c>
      <x:c r="C66" s="3" t="str">
        <x:v>통과</x:v>
      </x:c>
    </x:row>
    <x:row r="67" ht="38" customHeight="1">
      <x:c r="A67" s="8" t="str">
        <x:v>T61</x:v>
      </x:c>
      <x:c r="B67" s="8" t="str">
        <x:v>철회하면 원문 제거, 집계 제외</x:v>
      </x:c>
      <x:c r="C67" s="8" t="str">
        <x:v>통과</x:v>
      </x:c>
    </x:row>
    <x:row r="68" ht="38" customHeight="1">
      <x:c r="A68" s="3" t="str">
        <x:v>T62</x:v>
      </x:c>
      <x:c r="B68" s="3" t="str">
        <x:v>평가 기록, 운영 검토, 복구</x:v>
      </x:c>
      <x:c r="C68" s="3" t="str">
        <x:v>통과</x:v>
      </x:c>
    </x:row>
    <x:row r="69" ht="38" customHeight="1">
      <x:c r="A69" s="8" t="str">
        <x:v>T63</x:v>
      </x:c>
      <x:c r="B69" s="8" t="str">
        <x:v>비회원은 게시 목록 불가</x:v>
      </x:c>
      <x:c r="C69" s="8" t="str">
        <x:v>통과</x:v>
      </x:c>
    </x:row>
    <x:row r="70" ht="38" customHeight="1">
      <x:c r="A70" s="3" t="str">
        <x:v>T64</x:v>
      </x:c>
      <x:c r="B70" s="3" t="str">
        <x:v>외부 Origin과 헤더 누락 차단</x:v>
      </x:c>
      <x:c r="C70" s="3" t="str">
        <x:v>통과</x:v>
      </x:c>
    </x:row>
    <x:row r="71" ht="38" customHeight="1">
      <x:c r="A71" s="8" t="str">
        <x:v>T65</x:v>
      </x:c>
      <x:c r="B71" s="8" t="str">
        <x:v>짧은 비밀번호 차단</x:v>
      </x:c>
      <x:c r="C71" s="8" t="str">
        <x:v>통과</x:v>
      </x:c>
    </x:row>
    <x:row r="72" ht="38" customHeight="1">
      <x:c r="A72" s="3" t="str">
        <x:v>T66</x:v>
      </x:c>
      <x:c r="B72" s="3" t="str">
        <x:v>초대 가입과 쿠키</x:v>
      </x:c>
      <x:c r="C72" s="3" t="str">
        <x:v>통과</x:v>
      </x:c>
    </x:row>
    <x:row r="73" ht="38" customHeight="1">
      <x:c r="A73" s="8" t="str">
        <x:v>T67</x:v>
      </x:c>
      <x:c r="B73" s="8" t="str">
        <x:v>초대 재사용 거절</x:v>
      </x:c>
      <x:c r="C73" s="8" t="str">
        <x:v>통과</x:v>
      </x:c>
    </x:row>
    <x:row r="74" ht="38" customHeight="1">
      <x:c r="A74" s="3" t="str">
        <x:v>T68</x:v>
      </x:c>
      <x:c r="B74" s="3" t="str">
        <x:v>다른 회원과 운영자 가입</x:v>
      </x:c>
      <x:c r="C74" s="3" t="str">
        <x:v>통과</x:v>
      </x:c>
    </x:row>
    <x:row r="75" ht="38" customHeight="1">
      <x:c r="A75" s="8" t="str">
        <x:v>T69</x:v>
      </x:c>
      <x:c r="B75" s="8" t="str">
        <x:v>비밀번호 평문 미저장</x:v>
      </x:c>
      <x:c r="C75" s="8" t="str">
        <x:v>통과</x:v>
      </x:c>
    </x:row>
    <x:row r="76" ht="38" customHeight="1">
      <x:c r="A76" s="3" t="str">
        <x:v>T70</x:v>
      </x:c>
      <x:c r="B76" s="3" t="str">
        <x:v>잘못된 로그인 거절</x:v>
      </x:c>
      <x:c r="C76" s="3" t="str">
        <x:v>통과</x:v>
      </x:c>
    </x:row>
    <x:row r="77" ht="38" customHeight="1">
      <x:c r="A77" s="8" t="str">
        <x:v>T71</x:v>
      </x:c>
      <x:c r="B77" s="8" t="str">
        <x:v>동의 없는 게시 거절</x:v>
      </x:c>
      <x:c r="C77" s="8" t="str">
        <x:v>통과</x:v>
      </x:c>
    </x:row>
    <x:row r="78" ht="38" customHeight="1">
      <x:c r="A78" s="3" t="str">
        <x:v>T72</x:v>
      </x:c>
      <x:c r="B78" s="3" t="str">
        <x:v>개인정보 패턴 게시 차단</x:v>
      </x:c>
      <x:c r="C78" s="3" t="str">
        <x:v>통과</x:v>
      </x:c>
    </x:row>
    <x:row r="79" ht="38" customHeight="1">
      <x:c r="A79" s="8" t="str">
        <x:v>T73</x:v>
      </x:c>
      <x:c r="B79" s="8" t="str">
        <x:v>실제 저장과 목록 읽기</x:v>
      </x:c>
      <x:c r="C79" s="8" t="str">
        <x:v>통과</x:v>
      </x:c>
    </x:row>
    <x:row r="80" ht="38" customHeight="1">
      <x:c r="A80" s="3" t="str">
        <x:v>T74</x:v>
      </x:c>
      <x:c r="B80" s="3" t="str">
        <x:v>타인의 게시물 수정 거절</x:v>
      </x:c>
      <x:c r="C80" s="3" t="str">
        <x:v>통과</x:v>
      </x:c>
    </x:row>
    <x:row r="81" ht="38" customHeight="1">
      <x:c r="A81" s="8" t="str">
        <x:v>T75</x:v>
      </x:c>
      <x:c r="B81" s="8" t="str">
        <x:v>작성자 수정과 오래된 버전 충돌</x:v>
      </x:c>
      <x:c r="C81" s="8" t="str">
        <x:v>통과</x:v>
      </x:c>
    </x:row>
    <x:row r="82" ht="38" customHeight="1">
      <x:c r="A82" s="3" t="str">
        <x:v>T76</x:v>
      </x:c>
      <x:c r="B82" s="3" t="str">
        <x:v>같은 표를 반복해도 한 표</x:v>
      </x:c>
      <x:c r="C82" s="3" t="str">
        <x:v>통과</x:v>
      </x:c>
    </x:row>
    <x:row r="83" ht="38" customHeight="1">
      <x:c r="A83" s="8" t="str">
        <x:v>T77</x:v>
      </x:c>
      <x:c r="B83" s="8" t="str">
        <x:v>이유 변경과 취소</x:v>
      </x:c>
      <x:c r="C83" s="8" t="str">
        <x:v>통과</x:v>
      </x:c>
    </x:row>
    <x:row r="84" ht="38" customHeight="1">
      <x:c r="A84" s="3" t="str">
        <x:v>T78</x:v>
      </x:c>
      <x:c r="B84" s="3" t="str">
        <x:v>신고 저장과 중복 방지</x:v>
      </x:c>
      <x:c r="C84" s="3" t="str">
        <x:v>통과</x:v>
      </x:c>
    </x:row>
    <x:row r="85" ht="38" customHeight="1">
      <x:c r="A85" s="8" t="str">
        <x:v>T79</x:v>
      </x:c>
      <x:c r="B85" s="8" t="str">
        <x:v>운영 화면 권한</x:v>
      </x:c>
      <x:c r="C85" s="8" t="str">
        <x:v>통과</x:v>
      </x:c>
    </x:row>
    <x:row r="86" ht="38" customHeight="1">
      <x:c r="A86" s="3" t="str">
        <x:v>T80</x:v>
      </x:c>
      <x:c r="B86" s="3" t="str">
        <x:v>운영자 숨김, 복구 및 숨긴 글 투표 차단</x:v>
      </x:c>
      <x:c r="C86" s="3" t="str">
        <x:v>통과</x:v>
      </x:c>
    </x:row>
    <x:row r="87" ht="38" customHeight="1">
      <x:c r="A87" s="8" t="str">
        <x:v>T81</x:v>
      </x:c>
      <x:c r="B87" s="8" t="str">
        <x:v>취향 API 전송 동의 필수</x:v>
      </x:c>
      <x:c r="C87" s="8" t="str">
        <x:v>통과</x:v>
      </x:c>
    </x:row>
    <x:row r="88" ht="38" customHeight="1">
      <x:c r="A88" s="3" t="str">
        <x:v>T82</x:v>
      </x:c>
      <x:c r="B88" s="3" t="str">
        <x:v>요약 API 근거와 표본 건수</x:v>
      </x:c>
      <x:c r="C88" s="3" t="str">
        <x:v>통과</x:v>
      </x:c>
    </x:row>
    <x:row r="89" ht="38" customHeight="1">
      <x:c r="A89" s="8" t="str">
        <x:v>T83</x:v>
      </x:c>
      <x:c r="B89" s="8" t="str">
        <x:v>조건 검사와 출처</x:v>
      </x:c>
      <x:c r="C89" s="8" t="str">
        <x:v>통과</x:v>
      </x:c>
    </x:row>
    <x:row r="90" ht="38" customHeight="1">
      <x:c r="A90" s="3" t="str">
        <x:v>T84</x:v>
      </x:c>
      <x:c r="B90" s="3" t="str">
        <x:v>비선호 겹침은 잘못된 입력</x:v>
      </x:c>
      <x:c r="C90" s="3" t="str">
        <x:v>통과</x:v>
      </x:c>
    </x:row>
    <x:row r="91" ht="38" customHeight="1">
      <x:c r="A91" s="8" t="str">
        <x:v>T85</x:v>
      </x:c>
      <x:c r="B91" s="8" t="str">
        <x:v>비공개 전환 및 빈 자료 요약 차단</x:v>
      </x:c>
      <x:c r="C91" s="8" t="str">
        <x:v>통과</x:v>
      </x:c>
    </x:row>
    <x:row r="92" ht="38" customHeight="1">
      <x:c r="A92" s="3" t="str">
        <x:v>T86</x:v>
      </x:c>
      <x:c r="B92" s="3" t="str">
        <x:v>로그아웃 세션 폐기</x:v>
      </x:c>
      <x:c r="C92" s="3" t="str">
        <x:v>통과</x:v>
      </x:c>
    </x:row>
    <x:row r="93" ht="38" customHeight="1">
      <x:c r="A93" s="8" t="str">
        <x:v>T87</x:v>
      </x:c>
      <x:c r="B93" s="8" t="str">
        <x:v>키와 DB 파일 제공 안 함</x:v>
      </x:c>
      <x:c r="C93" s="8" t="str">
        <x:v>통과</x:v>
      </x:c>
    </x:row>
    <x:row r="94" ht="38" customHeight="1">
      <x:c r="A94" s="3" t="str">
        <x:v>T88</x:v>
      </x:c>
      <x:c r="B94" s="3" t="str">
        <x:v>HTTP 회원, 게시, 투표, 권한 통합</x:v>
      </x:c>
      <x:c r="C94" s="3" t="str">
        <x:v>통과</x:v>
      </x:c>
    </x:row>
    <x:row r="95" ht="38" customHeight="1">
      <x:c r="A95" s="8" t="str">
        <x:v>T89</x:v>
      </x:c>
      <x:c r="B95" s="8" t="str">
        <x:v>AI 출력 검사</x:v>
      </x:c>
      <x:c r="C95" s="8" t="str">
        <x:v>통과</x:v>
      </x:c>
    </x:row>
    <x:row r="96" ht="38" customHeight="1">
      <x:c r="A96" s="3" t="str">
        <x:v>T90</x:v>
      </x:c>
      <x:c r="B96" s="3" t="str">
        <x:v>정상 JSON</x:v>
      </x:c>
      <x:c r="C96" s="3" t="str">
        <x:v>통과</x:v>
      </x:c>
    </x:row>
    <x:row r="97" ht="38" customHeight="1">
      <x:c r="A97" s="8" t="str">
        <x:v>T91</x:v>
      </x:c>
      <x:c r="B97" s="8" t="str">
        <x:v>잘못된 응답은 적용하지 않음</x:v>
      </x:c>
      <x:c r="C97" s="8" t="str">
        <x:v>통과</x:v>
      </x:c>
    </x:row>
    <x:row r="98" ht="38" customHeight="1">
      <x:c r="A98" s="3" t="str">
        <x:v>T92</x:v>
      </x:c>
      <x:c r="B98" s="3" t="str">
        <x:v>한도 오류</x:v>
      </x:c>
      <x:c r="C98" s="3" t="str">
        <x:v>통과</x:v>
      </x:c>
    </x:row>
    <x:row r="99" ht="38" customHeight="1">
      <x:c r="A99" s="8" t="str">
        <x:v>T93</x:v>
      </x:c>
      <x:c r="B99" s="8" t="str">
        <x:v>시간 초과</x:v>
      </x:c>
      <x:c r="C99" s="8" t="str">
        <x:v>통과</x:v>
      </x:c>
    </x:row>
    <x:row r="100" ht="38" customHeight="1">
      <x:c r="A100" s="3" t="str">
        <x:v>T94</x:v>
      </x:c>
      <x:c r="B100" s="3" t="str">
        <x:v>키 없으면 호출 안 함</x:v>
      </x:c>
      <x:c r="C100" s="3" t="str">
        <x:v>통과</x:v>
      </x:c>
    </x:row>
    <x:row r="101" ht="38" customHeight="1">
      <x:c r="A101" s="8" t="str">
        <x:v>T95</x:v>
      </x:c>
      <x:c r="B101" s="8" t="str">
        <x:v>Gemini 실제 호출 없이 오류 경로 검사</x:v>
      </x:c>
      <x:c r="C101" s="8" t="str">
        <x:v>통과</x:v>
      </x:c>
    </x:row>
    <x:row r="102" ht="38" customHeight="1">
      <x:c r="A102" s="3" t="str">
        <x:v>T96</x:v>
      </x:c>
      <x:c r="B102" s="3" t="str">
        <x:v>AI 호출 상한과 민감정보 없는 운영 기록</x:v>
      </x:c>
      <x:c r="C102" s="3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조사 사례와 추천 후보를 구분합니다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6개 조사 사례 / 기본 추천 3종 / 전체 메뉴 API나 지점 재고 아님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설계 판단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작성자의 경험을 출발점으로 삼았습니다. 좋아하는 감각과 필수 조건을 분리하며, 맛의 유사성을 실제 대체 선택이나 만족도로 단정하지 않습니다.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이용자 요청이 상시 전환으로 이어진 사례. 현재 이용 가능할 수 있는 메뉴를 무조건 재출시 요청 대상으로 취급하지 않습니다.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마음과 단맛에 대한 상반된 반응을 함께 봅니다. 덜 달게 만드는 것이 모두에게 개선은 아닙니다.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인기가 많아도 상시 전환하지 않은 반례. 계절을 기다리는 가치와 접근 불편을 함께 확인합니다.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지역 메뉴도 기간별 예외 매장을 가진다는 사례. 제주라는 이름만 보고 현재 판매처를 단정하지 않습니다.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 9건과 공개 후기 3건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후기는 목적 표본이며 대표성, 실구매를 독립 검증하지 않았습니다. 원장: evidence.json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해석 한계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버전 재출시. 연중 판매 발표는 새 커피 버전에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v03에서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v03에서 공식 상세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v03에서 카페 라떼 등 메뉴명을 브라우저 목록으로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예약과 완료 근거를 분리합니다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이전 예약 기록을 이관했습니다. 이번 개정에서 스케줄을 새로 만들거나 변경하지 않았습니다. 실제 완료 근거 0회.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근거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</x:sheetData>
  <x:mergeCells>
    <x:mergeCell ref="A2:E2"/>
    <x:mergeCell ref="A4:E4"/>
  </x:mergeCells>
  <x:pageMargins left="0.7" right="0.7" top="0.75" bottom="0.75" header="0.3" footer="0.3"/>
</x:worksheet>
</file>