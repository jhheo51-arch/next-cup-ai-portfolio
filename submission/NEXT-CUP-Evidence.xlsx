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8976a2219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증 요약" sheetId="1" r:id="R6480e5724b914da3"/>
    <x:sheet xmlns:r="http://schemas.openxmlformats.org/officeDocument/2006/relationships" name="AI 실호출" sheetId="2" r:id="Re2d8b09254d941a7"/>
    <x:sheet xmlns:r="http://schemas.openxmlformats.org/officeDocument/2006/relationships" name="선택 결과" sheetId="3" r:id="R5c8eb4fbfecf460c"/>
    <x:sheet xmlns:r="http://schemas.openxmlformats.org/officeDocument/2006/relationships" name="화면 검증" sheetId="4" r:id="R962187980c484d97"/>
    <x:sheet xmlns:r="http://schemas.openxmlformats.org/officeDocument/2006/relationships" name="자동 시험" sheetId="5" r:id="Raa8ea922c55645ab"/>
    <x:sheet xmlns:r="http://schemas.openxmlformats.org/officeDocument/2006/relationships" name="메뉴 사례" sheetId="6" r:id="R1ef9b075d7a74fc8"/>
    <x:sheet xmlns:r="http://schemas.openxmlformats.org/officeDocument/2006/relationships" name="조사 출처" sheetId="7" r:id="Rf85e36961f424c75"/>
    <x:sheet xmlns:r="http://schemas.openxmlformats.org/officeDocument/2006/relationships" name="운영 계획" sheetId="8" r:id="Rf9cdcfbfd2934a51"/>
    <x:sheet xmlns:r="http://schemas.openxmlformats.org/officeDocument/2006/relationships" name="최종 실호출" sheetId="9" r:id="R3432fb074b0d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13">
    <x:font>
      <x:sz val="11"/>
      <x:name val="Carlito"/>
    </x:font>
    <x:font>
      <x:sz val="11"/>
      <x:color rgb="FF183A30"/>
      <x:name val="Noto Sans KR"/>
    </x:font>
    <x:font>
      <x:b/>
      <x:sz val="18"/>
      <x:color rgb="FF006241"/>
      <x:name val="Noto Sans KR"/>
    </x:font>
    <x:font>
      <x:sz val="10"/>
      <x:color rgb="FF4C6258"/>
      <x:name val="Noto Sans KR"/>
    </x:font>
    <x:font>
      <x:b/>
      <x:sz val="11"/>
      <x:color rgb="FFFFFFFF"/>
      <x:name val="Noto Sans KR"/>
    </x:font>
    <x:font>
      <x:b/>
      <x:sz val="14"/>
      <x:color rgb="FF006241"/>
      <x:name val="Noto Sans KR"/>
    </x:font>
    <x:font>
      <x:sz val="11"/>
      <x:color rgb="FFFFFFFF"/>
      <x:name val="Carlito"/>
    </x:font>
    <x:font>
      <x:sz val="11"/>
      <x:name val="맑은 고딕"/>
    </x:font>
    <x:font>
      <x:sz val="11"/>
      <x:color rgb="FF183A30"/>
      <x:name val="맑은 고딕"/>
    </x:font>
    <x:font>
      <x:b/>
      <x:sz val="18"/>
      <x:color rgb="FF006241"/>
      <x:name val="맑은 고딕"/>
    </x:font>
    <x:font>
      <x:b/>
      <x:sz val="11"/>
      <x:color rgb="FFFFFFFF"/>
      <x:name val="맑은 고딕"/>
    </x:font>
    <x:font>
      <x:b/>
      <x:sz val="14"/>
      <x:color rgb="FF006241"/>
      <x:name val="맑은 고딕"/>
    </x:font>
    <x:font>
      <x:sz val="11"/>
      <x:color rgb="FFFFFFFF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EFF5F1"/>
      </x:patternFill>
    </x:fill>
    <x:fill>
      <x:patternFill patternType="solid">
        <x:fgColor rgb="FFFFF4D6"/>
      </x:patternFill>
    </x:fill>
    <x:fill>
      <x:patternFill patternType="solid">
        <x:fgColor rgb="FF006241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A03224"/>
      </x:font>
      <x:fill>
        <x:patternFill>
          <x:bgColor rgb="FFFBE9E7"/>
        </x:patternFill>
      </x:fill>
    </x:dxf>
    <x:dxf>
      <x:fill>
        <x:patternFill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e47fc2d2c47b0" /><Relationship Type="http://schemas.openxmlformats.org/officeDocument/2006/relationships/theme" Target="/xl/theme/theme1.xml" Id="R465841826a564cff" /><Relationship Type="http://schemas.openxmlformats.org/officeDocument/2006/relationships/sharedStrings" Target="/xl/sharedStrings.xml" Id="R23769a50c1be4a51" /><Relationship Type="http://schemas.openxmlformats.org/officeDocument/2006/relationships/worksheet" Target="/xl/worksheets/sheet1.xml" Id="R6480e5724b914da3" /><Relationship Type="http://schemas.openxmlformats.org/officeDocument/2006/relationships/worksheet" Target="/xl/worksheets/sheet2.xml" Id="Re2d8b09254d941a7" /><Relationship Type="http://schemas.openxmlformats.org/officeDocument/2006/relationships/worksheet" Target="/xl/worksheets/sheet3.xml" Id="R5c8eb4fbfecf460c" /><Relationship Type="http://schemas.openxmlformats.org/officeDocument/2006/relationships/worksheet" Target="/xl/worksheets/sheet4.xml" Id="R962187980c484d97" /><Relationship Type="http://schemas.openxmlformats.org/officeDocument/2006/relationships/worksheet" Target="/xl/worksheets/sheet5.xml" Id="Raa8ea922c55645ab" /><Relationship Type="http://schemas.openxmlformats.org/officeDocument/2006/relationships/worksheet" Target="/xl/worksheets/sheet6.xml" Id="R1ef9b075d7a74fc8" /><Relationship Type="http://schemas.openxmlformats.org/officeDocument/2006/relationships/worksheet" Target="/xl/worksheets/sheet7.xml" Id="Rf85e36961f424c75" /><Relationship Type="http://schemas.openxmlformats.org/officeDocument/2006/relationships/worksheet" Target="/xl/worksheets/sheet8.xml" Id="Rf9cdcfbfd2934a51" /><Relationship Type="http://schemas.openxmlformats.org/officeDocument/2006/relationships/worksheet" Target="/xl/worksheets/sheet9.xml" Id="R3432fb074b0d4d23" /></Relationships>
</file>

<file path=xl/tables/table1.xml><?xml version="1.0" encoding="utf-8"?>
<x:table xmlns:x="http://schemas.openxmlformats.org/spreadsheetml/2006/main" id="1" name="ReleaseLiveV08" displayName="ReleaseLiveV08" ref="A6:H10" headerRowCount="1" totalsRowCount="0" totalsRowShown="0">
  <x:tableColumns count="8">
    <x:tableColumn id="1" name="ID"/>
    <x:tableColumn id="2" name="시도"/>
    <x:tableColumn id="3" name="AI 조건 일치 1/0"/>
    <x:tableColumn id="4" name="후보 일치 1/0"/>
    <x:tableColumn id="5" name="시간(초)"/>
    <x:tableColumn id="6" name="최종 확인 조건"/>
    <x:tableColumn id="7" name="관찰"/>
    <x:tableColumn id="8" name="원자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9c5fc33172744bf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74" hidden="0" customWidth="1"/>
  </x:cols>
  <x:sheetData>
    <x:row r="1">
      <x:c r="A1" s="3"/>
      <x:c r="B1" s="3"/>
      <x:c r="C1" s="3"/>
      <x:c r="D1" s="3"/>
    </x:row>
    <x:row r="2" ht="38" customHeight="1">
      <x:c r="A2" s="4" t="str">
        <x:v>NEXT CUP / v08 제출 검증</x:v>
      </x:c>
      <x:c r="B2" s="3"/>
      <x:c r="C2" s="3"/>
      <x:c r="D2" s="3"/>
    </x:row>
    <x:row r="3">
      <x:c r="A3" s="3"/>
      <x:c r="B3" s="3"/>
      <x:c r="C3" s="3"/>
      <x:c r="D3" s="3"/>
    </x:row>
    <x:row r="4" ht="42" customHeight="1">
      <x:c r="A4" s="5" t="str">
        <x:v>최신 동작과 과거 평가를 구분합니다. 외부 참가자 0명, 선택 만족도와 구매 효과는 미검증입니다.</x:v>
      </x:c>
      <x:c r="B4" s="3"/>
      <x:c r="C4" s="3"/>
      <x:c r="D4" s="3"/>
    </x:row>
    <x:row r="5">
      <x:c r="A5" s="3"/>
      <x:c r="B5" s="3"/>
      <x:c r="C5" s="3"/>
      <x:c r="D5" s="3"/>
    </x:row>
    <x:row r="6" ht="36" customHeight="1">
      <x:c r="A6" s="7" t="str">
        <x:v>시험 ID</x:v>
      </x:c>
      <x:c r="B6" s="7" t="str">
        <x:v>검사 항목</x:v>
      </x:c>
      <x:c r="C6" s="7" t="str">
        <x:v>결과</x:v>
      </x:c>
      <x:c r="D6" s="7" t="str">
        <x:v>설명</x:v>
      </x:c>
    </x:row>
    <x:row r="7" ht="64" customHeight="1">
      <x:c r="A7" s="8" t="str">
        <x:v>T01</x:v>
      </x:c>
      <x:c r="B7" s="8" t="str">
        <x:v>자동 검사 통과</x:v>
      </x:c>
      <x:c r="C7" s="15" t="n">
        <x:v>103</x:v>
      </x:c>
      <x:c r="D7" s="8" t="str">
        <x:v>v08 핵심 흐름과 기존 서버 모듈 검사. 원자료 tests-v08.tap</x:v>
      </x:c>
    </x:row>
    <x:row r="8" ht="64" customHeight="1">
      <x:c r="A8" s="3" t="str">
        <x:v>H01</x:v>
      </x:c>
      <x:c r="B8" s="3" t="str">
        <x:v>과거 / Gemini 호출 횟수</x:v>
      </x:c>
      <x:c r="C8" s="16" t="n">
        <x:f>COUNT('AI 실호출'!E7:E30)</x:f>
        <x:v>24</x:v>
      </x:c>
      <x:c r="D8" s="3" t="str">
        <x:v>과거 v2 프롬프트, 3종 목록. 최신 성능으로 재사용하지 않습니다.</x:v>
      </x:c>
    </x:row>
    <x:row r="9" ht="64" customHeight="1">
      <x:c r="A9" s="8" t="str">
        <x:v>H01</x:v>
      </x:c>
      <x:c r="B9" s="8" t="str">
        <x:v>과거 / 모든 취향 조건이 맞은 횟수</x:v>
      </x:c>
      <x:c r="C9" s="15" t="n">
        <x:f>SUM('AI 실호출'!E7:E30)</x:f>
        <x:v>22</x:v>
      </x:c>
      <x:c r="D9" s="8" t="str">
        <x:v>좋아하는 맛, 피할 맛, 쌀 필수 여부를 비교했습니다.</x:v>
      </x:c>
    </x:row>
    <x:row r="10" ht="64" customHeight="1">
      <x:c r="A10" s="3" t="str">
        <x:v>H01</x:v>
      </x:c>
      <x:c r="B10" s="3" t="str">
        <x:v>과거 / 예상한 후보가 나온 횟수</x:v>
      </x:c>
      <x:c r="C10" s="16" t="n">
        <x:f>SUM('AI 실호출'!F7:F30)</x:f>
        <x:v>24</x:v>
      </x:c>
      <x:c r="D10" s="3" t="str">
        <x:v>이 시험에서만 쌀 필수 미확인을 필수 아님으로 가정했습니다.</x:v>
      </x:c>
    </x:row>
    <x:row r="11" ht="64" customHeight="1">
      <x:c r="A11" s="8" t="str">
        <x:v>H01</x:v>
      </x:c>
      <x:c r="B11" s="8" t="str">
        <x:v>과거 / 평균 시간(초)</x:v>
      </x:c>
      <x:c r="C11" s="17" t="n">
        <x:f>AVERAGE('AI 실호출'!H7:H30)</x:f>
        <x:v>3.717916666666667</x:v>
      </x:c>
      <x:c r="D11" s="8" t="str">
        <x:v>서버에서 측정한 시간입니다. 이전 시험과 개선율을 비교하지 않습니다.</x:v>
      </x:c>
    </x:row>
    <x:row r="12" ht="64" customHeight="1">
      <x:c r="A12" s="3" t="str">
        <x:v>H01</x:v>
      </x:c>
      <x:c r="B12" s="3" t="str">
        <x:v>과거 / 95백분위(초)</x:v>
      </x:c>
      <x:c r="C12" s="18" t="n">
        <x:f>SMALL('AI 실호출'!H7:H30,ROUNDUP(0.95*COUNT('AI 실호출'!H7:H30),0))</x:f>
        <x:v>9.943</x:v>
      </x:c>
      <x:c r="D12" s="3" t="str">
        <x:v>24개 시간을 작은 순서로 정렬한 23번째 값입니다.</x:v>
      </x:c>
    </x:row>
    <x:row r="13" ht="64" customHeight="1">
      <x:c r="A13" s="8" t="str">
        <x:v>D01</x:v>
      </x:c>
      <x:c r="B13" s="8" t="str">
        <x:v>과거 / 수정 전 예상 후보 일치</x:v>
      </x:c>
      <x:c r="C13" s="15" t="n">
        <x:f>SUM('선택 결과'!F7:F18)</x:f>
        <x:v>9</x:v>
      </x:c>
      <x:c r="D13" s="8" t="str">
        <x:v>동일한 조건 12개를 이전 코드에 입력한 결과입니다.</x:v>
      </x:c>
    </x:row>
    <x:row r="14" ht="64" customHeight="1">
      <x:c r="A14" s="3" t="str">
        <x:v>D01</x:v>
      </x:c>
      <x:c r="B14" s="3" t="str">
        <x:v>과거 / 수정 후 예상 후보 일치</x:v>
      </x:c>
      <x:c r="C14" s="16" t="n">
        <x:f>SUM('선택 결과'!G7:G18)</x:f>
        <x:v>12</x:v>
      </x:c>
      <x:c r="D14" s="3" t="str">
        <x:v>바닐라 누락 1건과 초콜릿 제외 누락 2건을 수정했습니다.</x:v>
      </x:c>
    </x:row>
    <x:row r="15" ht="64" customHeight="1">
      <x:c r="A15" s="8" t="str">
        <x:v>B01</x:v>
      </x:c>
      <x:c r="B15" s="8" t="str">
        <x:v>화면 검사 통과</x:v>
      </x:c>
      <x:c r="C15" s="15" t="n">
        <x:f>COUNTIF('화면 검증'!C7:C20,"통과")</x:f>
        <x:v>14</x:v>
      </x:c>
      <x:c r="D15" s="8" t="str">
        <x:v>v08 화면 검사 14개. 가상 AI 응답 사용, 실제 AI는 최종 실호출 시트.</x:v>
      </x:c>
    </x:row>
    <x:row r="16" ht="64" customHeight="1">
      <x:c r="A16" s="3" t="str">
        <x:v>U01</x:v>
      </x:c>
      <x:c r="B16" s="3" t="str">
        <x:v>본인 경험 / 외부 검증</x:v>
      </x:c>
      <x:c r="C16" s="16" t="str">
        <x:v>1건 / 0명</x:v>
      </x:c>
      <x:c r="D16" s="3" t="str">
        <x:v>본인 경험을 문제 정의에 사용. 추천이 선택에 미친 효과는 미측정.</x:v>
      </x:c>
    </x:row>
    <x:row r="17" ht="64" customHeight="1">
      <x:c r="A17" s="8" t="str">
        <x:v>M01</x:v>
      </x:c>
      <x:c r="B17" s="8" t="str">
        <x:v>예약 실행 완료 근거</x:v>
      </x:c>
      <x:c r="C17" s="15" t="n">
        <x:f>COUNTIF('운영 계획'!E7:E10,"기록 있음")</x:f>
        <x:v>0</x:v>
      </x:c>
      <x:c r="D17" s="8" t="str">
        <x:v>이전 증거 묶음 기준 0회. 이번 수동 확인은 예약 실행과 별도입니다.</x:v>
      </x:c>
    </x:row>
    <x:row r="18" ht="64" customHeight="1">
      <x:c r="A18" s="30" t="str">
        <x:v>R08</x:v>
      </x:c>
      <x:c r="B18" s="30" t="str">
        <x:v>최신 Gemini 호출</x:v>
      </x:c>
      <x:c r="C18" s="32" t="n">
        <x:f>COUNTA('최종 실호출'!A7:A10)</x:f>
        <x:v>4</x:v>
      </x:c>
      <x:c r="D18" s="30" t="str">
        <x:v>3사례 최초 3회 + 검사 절차 수정 후 R03 재호출 1회.</x:v>
      </x:c>
    </x:row>
    <x:row r="19" ht="64" customHeight="1">
      <x:c r="A19" s="30" t="str">
        <x:v>R08</x:v>
      </x:c>
      <x:c r="B19" s="30" t="str">
        <x:v>최신 흐름 완료</x:v>
      </x:c>
      <x:c r="C19" s="32" t="n">
        <x:f>SUM('최종 실호출'!D7:D10)</x:f>
        <x:v>3</x:v>
      </x:c>
      <x:c r="D19" s="30" t="str">
        <x:v>R01/R02 최초 완료, R03 재실행 완료. 최초 실패 보존.</x:v>
      </x:c>
    </x:row>
    <x:row r="20" ht="64" customHeight="1">
      <x:c r="A20" s="30" t="str">
        <x:v>C08</x:v>
      </x:c>
      <x:c r="B20" s="30" t="str">
        <x:v>추천 목록</x:v>
      </x:c>
      <x:c r="C20" s="32" t="n">
        <x:v>5</x:v>
      </x:c>
      <x:c r="D20" s="30" t="str">
        <x:v>과일/요거트 2종 추가. 전체 메뉴/지점 재고 자료 아님.</x:v>
      </x:c>
    </x:row>
  </x:sheetData>
  <x:mergeCells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60" hidden="0" customWidth="1"/>
    <x:col min="3" max="3" width="35" hidden="0" customWidth="1"/>
    <x:col min="4" max="4" width="35" hidden="0" customWidth="1"/>
    <x:col min="5" max="5" width="13" hidden="0" customWidth="1"/>
    <x:col min="6" max="6" width="13" hidden="0" customWidth="1"/>
    <x:col min="7" max="7" width="25" hidden="0" customWidth="1"/>
    <x:col min="8" max="8" width="14" hidden="0" customWidth="1"/>
    <x:col min="9" max="9" width="13" hidden="0" customWidth="1"/>
    <x:col min="10" max="10" width="13" hidden="0" customWidth="1"/>
    <x:col min="11" max="11" width="6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4" t="str">
        <x:v>과거 v2 / Gemini 24회 원자료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2" customHeight="1">
      <x:c r="A4" s="5" t="str">
        <x:v>3종 목록 당시의 시험입니다. H04의 선호 누락 2회 실패를 보존합니다. 최신 결과는 최종 실호출 시트.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6" customHeight="1">
      <x:c r="A6" s="7" t="str">
        <x:v>ID/회차</x:v>
      </x:c>
      <x:c r="B6" s="7" t="str">
        <x:v>시험용 입력</x:v>
      </x:c>
      <x:c r="C6" s="7" t="str">
        <x:v>기대 조건</x:v>
      </x:c>
      <x:c r="D6" s="7" t="str">
        <x:v>실제 조건</x:v>
      </x:c>
      <x:c r="E6" s="7" t="str">
        <x:v>조건 일치</x:v>
      </x:c>
      <x:c r="F6" s="7" t="str">
        <x:v>후보 일치</x:v>
      </x:c>
      <x:c r="G6" s="7" t="str">
        <x:v>후보 ID</x:v>
      </x:c>
      <x:c r="H6" s="7" t="str">
        <x:v>시간(초)</x:v>
      </x:c>
      <x:c r="I6" s="7" t="str">
        <x:v>입력 토큰</x:v>
      </x:c>
      <x:c r="J6" s="7" t="str">
        <x:v>출력 토큰</x:v>
      </x:c>
      <x:c r="K6" s="7" t="str">
        <x:v>원자료</x:v>
      </x:c>
    </x:row>
    <x:row r="7" ht="104" customHeight="1">
      <x:c r="A7" s="8" t="str">
        <x:v>H01/1</x:v>
      </x:c>
      <x:c r="B7" s="8" t="str">
        <x:v>"그 잔에서 바닐라 향이 은은하게 나는 게 제일 마음에 들어요."</x:v>
      </x:c>
      <x:c r="C7" s="8" t="str">
        <x:v>vanilla / 제외 없음 / 쌀 unknown</x:v>
      </x:c>
      <x:c r="D7" s="8" t="str">
        <x:v>vanilla / 제외 없음 / 쌀 unknown</x:v>
      </x:c>
      <x:c r="E7" s="8" t="n">
        <x:v>1</x:v>
      </x:c>
      <x:c r="F7" s="8" t="n">
        <x:v>1</x:v>
      </x:c>
      <x:c r="G7" s="8" t="str">
        <x:v>coldbrew</x:v>
      </x:c>
      <x:c r="H7" s="9" t="n">
        <x:v>4.242</x:v>
      </x:c>
      <x:c r="I7" s="8" t="n">
        <x:v>427</x:v>
      </x:c>
      <x:c r="J7" s="8" t="n">
        <x:v>116</x:v>
      </x:c>
      <x:c r="K7" s="8" t="str">
        <x:v>https://github.com/jhheo51-arch/next-cup-ai-portfolio/blob/main/evidence/heldout-result-v1.json</x:v>
      </x:c>
    </x:row>
    <x:row r="8" ht="104" customHeight="1">
      <x:c r="A8" s="3" t="str">
        <x:v>H02/1</x:v>
      </x:c>
      <x:c r="B8" s="3" t="str">
        <x:v>"얼음이 잘게 갈린 느낌이 좋습니다. 커피 풍미는 싫습니다."</x:v>
      </x:c>
      <x:c r="C8" s="3" t="str">
        <x:v>ice / 제외 coffee / 쌀 unknown</x:v>
      </x:c>
      <x:c r="D8" s="3" t="str">
        <x:v>ice / 제외 coffee / 쌀 unknown</x:v>
      </x:c>
      <x:c r="E8" s="3" t="n">
        <x:v>1</x:v>
      </x:c>
      <x:c r="F8" s="3" t="n">
        <x:v>1</x:v>
      </x:c>
      <x:c r="G8" s="3" t="str">
        <x:v>chocolate</x:v>
      </x:c>
      <x:c r="H8" s="10" t="n">
        <x:v>7.027</x:v>
      </x:c>
      <x:c r="I8" s="3" t="n">
        <x:v>426</x:v>
      </x:c>
      <x:c r="J8" s="3" t="n">
        <x:v>162</x:v>
      </x:c>
      <x:c r="K8" s="3" t="str">
        <x:v>https://github.com/jhheo51-arch/next-cup-ai-portfolio/blob/main/evidence/heldout-result-v1.json</x:v>
      </x:c>
    </x:row>
    <x:row r="9" ht="104" customHeight="1">
      <x:c r="A9" s="8" t="str">
        <x:v>H03/1</x:v>
      </x:c>
      <x:c r="B9" s="8" t="str">
        <x:v>"우유처럼 부드러운 크림감이 좋고 초콜릿 풍미는 피하고 싶어요."</x:v>
      </x:c>
      <x:c r="C9" s="8" t="str">
        <x:v>cream / 제외 cocoa / 쌀 unknown</x:v>
      </x:c>
      <x:c r="D9" s="8" t="str">
        <x:v>cream / 제외 cocoa / 쌀 unknown</x:v>
      </x:c>
      <x:c r="E9" s="8" t="n">
        <x:v>1</x:v>
      </x:c>
      <x:c r="F9" s="8" t="n">
        <x:v>1</x:v>
      </x:c>
      <x:c r="G9" s="8" t="str">
        <x:v>coldbrew, latte</x:v>
      </x:c>
      <x:c r="H9" s="9" t="n">
        <x:v>7.196</x:v>
      </x:c>
      <x:c r="I9" s="8" t="n">
        <x:v>431</x:v>
      </x:c>
      <x:c r="J9" s="8" t="n">
        <x:v>165</x:v>
      </x:c>
      <x:c r="K9" s="8" t="str">
        <x:v>https://github.com/jhheo51-arch/next-cup-ai-portfolio/blob/main/evidence/heldout-result-v1.json</x:v>
      </x:c>
    </x:row>
    <x:row r="10" ht="104" customHeight="1">
      <x:c r="A10" s="3" t="str">
        <x:v>H04/1</x:v>
      </x:c>
      <x:c r="B10" s="3" t="str">
        <x:v>"다른 건 바뀌어도 되지만 쌀 특유의 구수한 맛만은 빠지면 안 돼요."</x:v>
      </x:c>
      <x:c r="C10" s="3" t="str">
        <x:v>rice / 제외 없음 / 쌀 yes</x:v>
      </x:c>
      <x:c r="D10" s="3" t="str">
        <x:v>없음 / 제외 없음 / 쌀 yes</x:v>
      </x:c>
      <x:c r="E10" s="3" t="n">
        <x:v>0</x:v>
      </x:c>
      <x:c r="F10" s="3" t="n">
        <x:v>1</x:v>
      </x:c>
      <x:c r="G10" s="3" t="str">
        <x:v>없음</x:v>
      </x:c>
      <x:c r="H10" s="10" t="n">
        <x:v>9.943</x:v>
      </x:c>
      <x:c r="I10" s="3" t="n">
        <x:v>430</x:v>
      </x:c>
      <x:c r="J10" s="3" t="n">
        <x:v>102</x:v>
      </x:c>
      <x:c r="K10" s="3" t="str">
        <x:v>https://github.com/jhheo51-arch/next-cup-ai-portfolio/blob/main/evidence/heldout-result-v1.json</x:v>
      </x:c>
    </x:row>
    <x:row r="11" ht="104" customHeight="1">
      <x:c r="A11" s="8" t="str">
        <x:v>H05/1</x:v>
      </x:c>
      <x:c r="B11" s="8" t="str">
        <x:v>"쌀 맛은 없어도 괜찮아요. 대신 잘게 갈린 얼음의 질감을 좋아해요."</x:v>
      </x:c>
      <x:c r="C11" s="8" t="str">
        <x:v>ice / 제외 없음 / 쌀 no</x:v>
      </x:c>
      <x:c r="D11" s="8" t="str">
        <x:v>ice / 제외 없음 / 쌀 no</x:v>
      </x:c>
      <x:c r="E11" s="8" t="n">
        <x:v>1</x:v>
      </x:c>
      <x:c r="F11" s="8" t="n">
        <x:v>1</x:v>
      </x:c>
      <x:c r="G11" s="8" t="str">
        <x:v>chocolate</x:v>
      </x:c>
      <x:c r="H11" s="9" t="n">
        <x:v>11.455</x:v>
      </x:c>
      <x:c r="I11" s="8" t="n">
        <x:v>429</x:v>
      </x:c>
      <x:c r="J11" s="8" t="n">
        <x:v>149</x:v>
      </x:c>
      <x:c r="K11" s="8" t="str">
        <x:v>https://github.com/jhheo51-arch/next-cup-ai-portfolio/blob/main/evidence/heldout-result-v1.json</x:v>
      </x:c>
    </x:row>
    <x:row r="12" ht="104" customHeight="1">
      <x:c r="A12" s="3" t="str">
        <x:v>H06/1</x:v>
      </x:c>
      <x:c r="B12" s="3" t="str">
        <x:v>"지역 농가를 돕는다는 취지가 마음에 들었어요. 맛은 기억나지 않아요."</x:v>
      </x:c>
      <x:c r="C12" s="3" t="str">
        <x:v>없음 / 제외 없음 / 쌀 unknown</x:v>
      </x:c>
      <x:c r="D12" s="3" t="str">
        <x:v>없음 / 제외 없음 / 쌀 unknown</x:v>
      </x:c>
      <x:c r="E12" s="3" t="n">
        <x:v>1</x:v>
      </x:c>
      <x:c r="F12" s="3" t="n">
        <x:v>1</x:v>
      </x:c>
      <x:c r="G12" s="3" t="str">
        <x:v>없음</x:v>
      </x:c>
      <x:c r="H12" s="10" t="n">
        <x:v>8.859</x:v>
      </x:c>
      <x:c r="I12" s="3" t="n">
        <x:v>430</x:v>
      </x:c>
      <x:c r="J12" s="3" t="n">
        <x:v>75</x:v>
      </x:c>
      <x:c r="K12" s="3" t="str">
        <x:v>https://github.com/jhheo51-arch/next-cup-ai-portfolio/blob/main/evidence/heldout-result-v1.json</x:v>
      </x:c>
    </x:row>
    <x:row r="13" ht="104" customHeight="1">
      <x:c r="A13" s="8" t="str">
        <x:v>H07/1</x:v>
      </x:c>
      <x:c r="B13" s="8" t="str">
        <x:v>"위에 얹힌 과자 같은 바삭한 토핑을 좋아해요."</x:v>
      </x:c>
      <x:c r="C13" s="8" t="str">
        <x:v>crunch / 제외 없음 / 쌀 unknown</x:v>
      </x:c>
      <x:c r="D13" s="8" t="str">
        <x:v>crunch / 제외 없음 / 쌀 unknown</x:v>
      </x:c>
      <x:c r="E13" s="8" t="n">
        <x:v>1</x:v>
      </x:c>
      <x:c r="F13" s="8" t="n">
        <x:v>1</x:v>
      </x:c>
      <x:c r="G13" s="8" t="str">
        <x:v>없음</x:v>
      </x:c>
      <x:c r="H13" s="9" t="n">
        <x:v>1.364</x:v>
      </x:c>
      <x:c r="I13" s="8" t="n">
        <x:v>424</x:v>
      </x:c>
      <x:c r="J13" s="8" t="n">
        <x:v>61</x:v>
      </x:c>
      <x:c r="K13" s="8" t="str">
        <x:v>https://github.com/jhheo51-arch/next-cup-ai-portfolio/blob/main/evidence/heldout-result-v1.json</x:v>
      </x:c>
    </x:row>
    <x:row r="14" ht="104" customHeight="1">
      <x:c r="A14" s="3" t="str">
        <x:v>H08/1</x:v>
      </x:c>
      <x:c r="B14" s="3" t="str">
        <x:v>"제주 비자림 콜드 브루가 생각나요. 어떤 맛이 좋았는지는 모르겠어요."</x:v>
      </x:c>
      <x:c r="C14" s="3" t="str">
        <x:v>없음 / 제외 없음 / 쌀 unknown</x:v>
      </x:c>
      <x:c r="D14" s="3" t="str">
        <x:v>없음 / 제외 없음 / 쌀 unknown</x:v>
      </x:c>
      <x:c r="E14" s="3" t="n">
        <x:v>1</x:v>
      </x:c>
      <x:c r="F14" s="3" t="n">
        <x:v>1</x:v>
      </x:c>
      <x:c r="G14" s="3" t="str">
        <x:v>없음</x:v>
      </x:c>
      <x:c r="H14" s="10" t="n">
        <x:v>1.645</x:v>
      </x:c>
      <x:c r="I14" s="3" t="n">
        <x:v>432</x:v>
      </x:c>
      <x:c r="J14" s="3" t="n">
        <x:v>94</x:v>
      </x:c>
      <x:c r="K14" s="3" t="str">
        <x:v>https://github.com/jhheo51-arch/next-cup-ai-portfolio/blob/main/evidence/heldout-result-v1.json</x:v>
      </x:c>
    </x:row>
    <x:row r="15" ht="150" customHeight="1">
      <x:c r="A15" s="8" t="str">
        <x:v>H09/1</x:v>
      </x:c>
      <x:c r="B15" s="8" t="str">
        <x:v>[{"role":"user","text":"커피 풍미가 좋아요."},{"role":"assistant","text":"현재도 커피 풍미를 원하시나요?"},{"role":"user","text":"지금은 커피 풍미가 싫어요. 바닐라 향만 좋아합니다."}]</x:v>
      </x:c>
      <x:c r="C15" s="8" t="str">
        <x:v>vanilla / 제외 coffee / 쌀 unknown</x:v>
      </x:c>
      <x:c r="D15" s="8" t="str">
        <x:v>vanilla / 제외 coffee / 쌀 unknown</x:v>
      </x:c>
      <x:c r="E15" s="8" t="n">
        <x:v>1</x:v>
      </x:c>
      <x:c r="F15" s="8" t="n">
        <x:v>1</x:v>
      </x:c>
      <x:c r="G15" s="8" t="str">
        <x:v>없음</x:v>
      </x:c>
      <x:c r="H15" s="9" t="n">
        <x:v>5.836</x:v>
      </x:c>
      <x:c r="I15" s="8" t="n">
        <x:v>456</x:v>
      </x:c>
      <x:c r="J15" s="8" t="n">
        <x:v>158</x:v>
      </x:c>
      <x:c r="K15" s="8" t="str">
        <x:v>https://github.com/jhheo51-arch/next-cup-ai-portfolio/blob/main/evidence/heldout-result-v1.json</x:v>
      </x:c>
    </x:row>
    <x:row r="16" ht="104" customHeight="1">
      <x:c r="A16" s="3" t="str">
        <x:v>H10/1</x:v>
      </x:c>
      <x:c r="B16" s="3" t="str">
        <x:v>"너무 달지 않은 음료면 좋겠어요. 구체적인 향이나 질감은 모르겠어요."</x:v>
      </x:c>
      <x:c r="C16" s="3" t="str">
        <x:v>없음 / 제외 없음 / 쌀 unknown</x:v>
      </x:c>
      <x:c r="D16" s="3" t="str">
        <x:v>없음 / 제외 없음 / 쌀 unknown</x:v>
      </x:c>
      <x:c r="E16" s="3" t="n">
        <x:v>1</x:v>
      </x:c>
      <x:c r="F16" s="3" t="n">
        <x:v>1</x:v>
      </x:c>
      <x:c r="G16" s="3" t="str">
        <x:v>없음</x:v>
      </x:c>
      <x:c r="H16" s="10" t="n">
        <x:v>6.547</x:v>
      </x:c>
      <x:c r="I16" s="3" t="n">
        <x:v>431</x:v>
      </x:c>
      <x:c r="J16" s="3" t="n">
        <x:v>109</x:v>
      </x:c>
      <x:c r="K16" s="3" t="str">
        <x:v>https://github.com/jhheo51-arch/next-cup-ai-portfolio/blob/main/evidence/heldout-result-v1.json</x:v>
      </x:c>
    </x:row>
    <x:row r="17" ht="104" customHeight="1">
      <x:c r="A17" s="8" t="str">
        <x:v>H11/1</x:v>
      </x:c>
      <x:c r="B17" s="8" t="str">
        <x:v>"크림감은 좋아요. 커피 맛과 초콜릿 맛은 둘 다 싫어요."</x:v>
      </x:c>
      <x:c r="C17" s="8" t="str">
        <x:v>cream / 제외 cocoa, coffee / 쌀 unknown</x:v>
      </x:c>
      <x:c r="D17" s="8" t="str">
        <x:v>cream / 제외 cocoa, coffee / 쌀 unknown</x:v>
      </x:c>
      <x:c r="E17" s="8" t="n">
        <x:v>1</x:v>
      </x:c>
      <x:c r="F17" s="8" t="n">
        <x:v>1</x:v>
      </x:c>
      <x:c r="G17" s="8" t="str">
        <x:v>없음</x:v>
      </x:c>
      <x:c r="H17" s="9" t="n">
        <x:v>3.308</x:v>
      </x:c>
      <x:c r="I17" s="8" t="n">
        <x:v>427</x:v>
      </x:c>
      <x:c r="J17" s="8" t="n">
        <x:v>119</x:v>
      </x:c>
      <x:c r="K17" s="8" t="str">
        <x:v>https://github.com/jhheo51-arch/next-cup-ai-portfolio/blob/main/evidence/heldout-result-v1.json</x:v>
      </x:c>
    </x:row>
    <x:row r="18" ht="104" customHeight="1">
      <x:c r="A18" s="3" t="str">
        <x:v>H12/1</x:v>
      </x:c>
      <x:c r="B18" s="3" t="str">
        <x:v>"커피 풍미를 싫어하는 건 아니에요. 좋아하는지도 아직 모르겠어요."</x:v>
      </x:c>
      <x:c r="C18" s="3" t="str">
        <x:v>없음 / 제외 없음 / 쌀 unknown</x:v>
      </x:c>
      <x:c r="D18" s="3" t="str">
        <x:v>없음 / 제외 없음 / 쌀 unknown</x:v>
      </x:c>
      <x:c r="E18" s="3" t="n">
        <x:v>1</x:v>
      </x:c>
      <x:c r="F18" s="3" t="n">
        <x:v>1</x:v>
      </x:c>
      <x:c r="G18" s="3" t="str">
        <x:v>없음</x:v>
      </x:c>
      <x:c r="H18" s="10" t="n">
        <x:v>1.929</x:v>
      </x:c>
      <x:c r="I18" s="3" t="n">
        <x:v>427</x:v>
      </x:c>
      <x:c r="J18" s="3" t="n">
        <x:v>62</x:v>
      </x:c>
      <x:c r="K18" s="3" t="str">
        <x:v>https://github.com/jhheo51-arch/next-cup-ai-portfolio/blob/main/evidence/heldout-result-v1.json</x:v>
      </x:c>
    </x:row>
    <x:row r="19" ht="104" customHeight="1">
      <x:c r="A19" s="8" t="str">
        <x:v>H01/2</x:v>
      </x:c>
      <x:c r="B19" s="8" t="str">
        <x:v>"그 잔에서 바닐라 향이 은은하게 나는 게 제일 마음에 들어요."</x:v>
      </x:c>
      <x:c r="C19" s="8" t="str">
        <x:v>vanilla / 제외 없음 / 쌀 unknown</x:v>
      </x:c>
      <x:c r="D19" s="8" t="str">
        <x:v>vanilla / 제외 없음 / 쌀 unknown</x:v>
      </x:c>
      <x:c r="E19" s="8" t="n">
        <x:v>1</x:v>
      </x:c>
      <x:c r="F19" s="8" t="n">
        <x:v>1</x:v>
      </x:c>
      <x:c r="G19" s="8" t="str">
        <x:v>coldbrew</x:v>
      </x:c>
      <x:c r="H19" s="9" t="n">
        <x:v>1.605</x:v>
      </x:c>
      <x:c r="I19" s="8" t="n">
        <x:v>427</x:v>
      </x:c>
      <x:c r="J19" s="8" t="n">
        <x:v>75</x:v>
      </x:c>
      <x:c r="K19" s="8" t="str">
        <x:v>https://github.com/jhheo51-arch/next-cup-ai-portfolio/blob/main/evidence/heldout-result-v1.json</x:v>
      </x:c>
    </x:row>
    <x:row r="20" ht="104" customHeight="1">
      <x:c r="A20" s="3" t="str">
        <x:v>H02/2</x:v>
      </x:c>
      <x:c r="B20" s="3" t="str">
        <x:v>"얼음이 잘게 갈린 느낌이 좋습니다. 커피 풍미는 싫습니다."</x:v>
      </x:c>
      <x:c r="C20" s="3" t="str">
        <x:v>ice / 제외 coffee / 쌀 unknown</x:v>
      </x:c>
      <x:c r="D20" s="3" t="str">
        <x:v>ice / 제외 coffee / 쌀 unknown</x:v>
      </x:c>
      <x:c r="E20" s="3" t="n">
        <x:v>1</x:v>
      </x:c>
      <x:c r="F20" s="3" t="n">
        <x:v>1</x:v>
      </x:c>
      <x:c r="G20" s="3" t="str">
        <x:v>chocolate</x:v>
      </x:c>
      <x:c r="H20" s="10" t="n">
        <x:v>1.535</x:v>
      </x:c>
      <x:c r="I20" s="3" t="n">
        <x:v>426</x:v>
      </x:c>
      <x:c r="J20" s="3" t="n">
        <x:v>93</x:v>
      </x:c>
      <x:c r="K20" s="3" t="str">
        <x:v>https://github.com/jhheo51-arch/next-cup-ai-portfolio/blob/main/evidence/heldout-result-v1.json</x:v>
      </x:c>
    </x:row>
    <x:row r="21" ht="104" customHeight="1">
      <x:c r="A21" s="8" t="str">
        <x:v>H03/2</x:v>
      </x:c>
      <x:c r="B21" s="8" t="str">
        <x:v>"우유처럼 부드러운 크림감이 좋고 초콜릿 풍미는 피하고 싶어요."</x:v>
      </x:c>
      <x:c r="C21" s="8" t="str">
        <x:v>cream / 제외 cocoa / 쌀 unknown</x:v>
      </x:c>
      <x:c r="D21" s="8" t="str">
        <x:v>cream / 제외 cocoa / 쌀 unknown</x:v>
      </x:c>
      <x:c r="E21" s="8" t="n">
        <x:v>1</x:v>
      </x:c>
      <x:c r="F21" s="8" t="n">
        <x:v>1</x:v>
      </x:c>
      <x:c r="G21" s="8" t="str">
        <x:v>coldbrew, latte</x:v>
      </x:c>
      <x:c r="H21" s="9" t="n">
        <x:v>1.886</x:v>
      </x:c>
      <x:c r="I21" s="8" t="n">
        <x:v>431</x:v>
      </x:c>
      <x:c r="J21" s="8" t="n">
        <x:v>169</x:v>
      </x:c>
      <x:c r="K21" s="8" t="str">
        <x:v>https://github.com/jhheo51-arch/next-cup-ai-portfolio/blob/main/evidence/heldout-result-v1.json</x:v>
      </x:c>
    </x:row>
    <x:row r="22" ht="104" customHeight="1">
      <x:c r="A22" s="3" t="str">
        <x:v>H04/2</x:v>
      </x:c>
      <x:c r="B22" s="3" t="str">
        <x:v>"다른 건 바뀌어도 되지만 쌀 특유의 구수한 맛만은 빠지면 안 돼요."</x:v>
      </x:c>
      <x:c r="C22" s="3" t="str">
        <x:v>rice / 제외 없음 / 쌀 yes</x:v>
      </x:c>
      <x:c r="D22" s="3" t="str">
        <x:v>없음 / 제외 없음 / 쌀 yes</x:v>
      </x:c>
      <x:c r="E22" s="3" t="n">
        <x:v>0</x:v>
      </x:c>
      <x:c r="F22" s="3" t="n">
        <x:v>1</x:v>
      </x:c>
      <x:c r="G22" s="3" t="str">
        <x:v>없음</x:v>
      </x:c>
      <x:c r="H22" s="10" t="n">
        <x:v>2.138</x:v>
      </x:c>
      <x:c r="I22" s="3" t="n">
        <x:v>430</x:v>
      </x:c>
      <x:c r="J22" s="3" t="n">
        <x:v>103</x:v>
      </x:c>
      <x:c r="K22" s="3" t="str">
        <x:v>https://github.com/jhheo51-arch/next-cup-ai-portfolio/blob/main/evidence/heldout-result-v1.json</x:v>
      </x:c>
    </x:row>
    <x:row r="23" ht="104" customHeight="1">
      <x:c r="A23" s="8" t="str">
        <x:v>H05/2</x:v>
      </x:c>
      <x:c r="B23" s="8" t="str">
        <x:v>"쌀 맛은 없어도 괜찮아요. 대신 잘게 갈린 얼음의 질감을 좋아해요."</x:v>
      </x:c>
      <x:c r="C23" s="8" t="str">
        <x:v>ice / 제외 없음 / 쌀 no</x:v>
      </x:c>
      <x:c r="D23" s="8" t="str">
        <x:v>ice / 제외 없음 / 쌀 no</x:v>
      </x:c>
      <x:c r="E23" s="8" t="n">
        <x:v>1</x:v>
      </x:c>
      <x:c r="F23" s="8" t="n">
        <x:v>1</x:v>
      </x:c>
      <x:c r="G23" s="8" t="str">
        <x:v>chocolate</x:v>
      </x:c>
      <x:c r="H23" s="9" t="n">
        <x:v>1.515</x:v>
      </x:c>
      <x:c r="I23" s="8" t="n">
        <x:v>429</x:v>
      </x:c>
      <x:c r="J23" s="8" t="n">
        <x:v>143</x:v>
      </x:c>
      <x:c r="K23" s="8" t="str">
        <x:v>https://github.com/jhheo51-arch/next-cup-ai-portfolio/blob/main/evidence/heldout-result-v1.json</x:v>
      </x:c>
    </x:row>
    <x:row r="24" ht="104" customHeight="1">
      <x:c r="A24" s="3" t="str">
        <x:v>H06/2</x:v>
      </x:c>
      <x:c r="B24" s="3" t="str">
        <x:v>"지역 농가를 돕는다는 취지가 마음에 들었어요. 맛은 기억나지 않아요."</x:v>
      </x:c>
      <x:c r="C24" s="3" t="str">
        <x:v>없음 / 제외 없음 / 쌀 unknown</x:v>
      </x:c>
      <x:c r="D24" s="3" t="str">
        <x:v>없음 / 제외 없음 / 쌀 unknown</x:v>
      </x:c>
      <x:c r="E24" s="3" t="n">
        <x:v>1</x:v>
      </x:c>
      <x:c r="F24" s="3" t="n">
        <x:v>1</x:v>
      </x:c>
      <x:c r="G24" s="3" t="str">
        <x:v>없음</x:v>
      </x:c>
      <x:c r="H24" s="10" t="n">
        <x:v>1.781</x:v>
      </x:c>
      <x:c r="I24" s="3" t="n">
        <x:v>430</x:v>
      </x:c>
      <x:c r="J24" s="3" t="n">
        <x:v>68</x:v>
      </x:c>
      <x:c r="K24" s="3" t="str">
        <x:v>https://github.com/jhheo51-arch/next-cup-ai-portfolio/blob/main/evidence/heldout-result-v1.json</x:v>
      </x:c>
    </x:row>
    <x:row r="25" ht="104" customHeight="1">
      <x:c r="A25" s="8" t="str">
        <x:v>H07/2</x:v>
      </x:c>
      <x:c r="B25" s="8" t="str">
        <x:v>"위에 얹힌 과자 같은 바삭한 토핑을 좋아해요."</x:v>
      </x:c>
      <x:c r="C25" s="8" t="str">
        <x:v>crunch / 제외 없음 / 쌀 unknown</x:v>
      </x:c>
      <x:c r="D25" s="8" t="str">
        <x:v>crunch / 제외 없음 / 쌀 unknown</x:v>
      </x:c>
      <x:c r="E25" s="8" t="n">
        <x:v>1</x:v>
      </x:c>
      <x:c r="F25" s="8" t="n">
        <x:v>1</x:v>
      </x:c>
      <x:c r="G25" s="8" t="str">
        <x:v>없음</x:v>
      </x:c>
      <x:c r="H25" s="9" t="n">
        <x:v>1.616</x:v>
      </x:c>
      <x:c r="I25" s="8" t="n">
        <x:v>424</x:v>
      </x:c>
      <x:c r="J25" s="8" t="n">
        <x:v>107</x:v>
      </x:c>
      <x:c r="K25" s="8" t="str">
        <x:v>https://github.com/jhheo51-arch/next-cup-ai-portfolio/blob/main/evidence/heldout-result-v1.json</x:v>
      </x:c>
    </x:row>
    <x:row r="26" ht="104" customHeight="1">
      <x:c r="A26" s="3" t="str">
        <x:v>H08/2</x:v>
      </x:c>
      <x:c r="B26" s="3" t="str">
        <x:v>"제주 비자림 콜드 브루가 생각나요. 어떤 맛이 좋았는지는 모르겠어요."</x:v>
      </x:c>
      <x:c r="C26" s="3" t="str">
        <x:v>없음 / 제외 없음 / 쌀 unknown</x:v>
      </x:c>
      <x:c r="D26" s="3" t="str">
        <x:v>없음 / 제외 없음 / 쌀 unknown</x:v>
      </x:c>
      <x:c r="E26" s="3" t="n">
        <x:v>1</x:v>
      </x:c>
      <x:c r="F26" s="3" t="n">
        <x:v>1</x:v>
      </x:c>
      <x:c r="G26" s="3" t="str">
        <x:v>없음</x:v>
      </x:c>
      <x:c r="H26" s="10" t="n">
        <x:v>1.573</x:v>
      </x:c>
      <x:c r="I26" s="3" t="n">
        <x:v>432</x:v>
      </x:c>
      <x:c r="J26" s="3" t="n">
        <x:v>102</x:v>
      </x:c>
      <x:c r="K26" s="3" t="str">
        <x:v>https://github.com/jhheo51-arch/next-cup-ai-portfolio/blob/main/evidence/heldout-result-v1.json</x:v>
      </x:c>
    </x:row>
    <x:row r="27" ht="150" customHeight="1">
      <x:c r="A27" s="8" t="str">
        <x:v>H09/2</x:v>
      </x:c>
      <x:c r="B27" s="8" t="str">
        <x:v>[{"role":"user","text":"커피 풍미가 좋아요."},{"role":"assistant","text":"현재도 커피 풍미를 원하시나요?"},{"role":"user","text":"지금은 커피 풍미가 싫어요. 바닐라 향만 좋아합니다."}]</x:v>
      </x:c>
      <x:c r="C27" s="8" t="str">
        <x:v>vanilla / 제외 coffee / 쌀 unknown</x:v>
      </x:c>
      <x:c r="D27" s="8" t="str">
        <x:v>vanilla / 제외 coffee / 쌀 unknown</x:v>
      </x:c>
      <x:c r="E27" s="8" t="n">
        <x:v>1</x:v>
      </x:c>
      <x:c r="F27" s="8" t="n">
        <x:v>1</x:v>
      </x:c>
      <x:c r="G27" s="8" t="str">
        <x:v>없음</x:v>
      </x:c>
      <x:c r="H27" s="9" t="n">
        <x:v>1.552</x:v>
      </x:c>
      <x:c r="I27" s="8" t="n">
        <x:v>456</x:v>
      </x:c>
      <x:c r="J27" s="8" t="n">
        <x:v>163</x:v>
      </x:c>
      <x:c r="K27" s="8" t="str">
        <x:v>https://github.com/jhheo51-arch/next-cup-ai-portfolio/blob/main/evidence/heldout-result-v1.json</x:v>
      </x:c>
    </x:row>
    <x:row r="28" ht="104" customHeight="1">
      <x:c r="A28" s="3" t="str">
        <x:v>H10/2</x:v>
      </x:c>
      <x:c r="B28" s="3" t="str">
        <x:v>"너무 달지 않은 음료면 좋겠어요. 구체적인 향이나 질감은 모르겠어요."</x:v>
      </x:c>
      <x:c r="C28" s="3" t="str">
        <x:v>없음 / 제외 없음 / 쌀 unknown</x:v>
      </x:c>
      <x:c r="D28" s="3" t="str">
        <x:v>없음 / 제외 없음 / 쌀 unknown</x:v>
      </x:c>
      <x:c r="E28" s="3" t="n">
        <x:v>1</x:v>
      </x:c>
      <x:c r="F28" s="3" t="n">
        <x:v>1</x:v>
      </x:c>
      <x:c r="G28" s="3" t="str">
        <x:v>없음</x:v>
      </x:c>
      <x:c r="H28" s="10" t="n">
        <x:v>1.225</x:v>
      </x:c>
      <x:c r="I28" s="3" t="n">
        <x:v>431</x:v>
      </x:c>
      <x:c r="J28" s="3" t="n">
        <x:v>78</x:v>
      </x:c>
      <x:c r="K28" s="3" t="str">
        <x:v>https://github.com/jhheo51-arch/next-cup-ai-portfolio/blob/main/evidence/heldout-result-v1.json</x:v>
      </x:c>
    </x:row>
    <x:row r="29" ht="104" customHeight="1">
      <x:c r="A29" s="8" t="str">
        <x:v>H11/2</x:v>
      </x:c>
      <x:c r="B29" s="8" t="str">
        <x:v>"크림감은 좋아요. 커피 맛과 초콜릿 맛은 둘 다 싫어요."</x:v>
      </x:c>
      <x:c r="C29" s="8" t="str">
        <x:v>cream / 제외 cocoa, coffee / 쌀 unknown</x:v>
      </x:c>
      <x:c r="D29" s="8" t="str">
        <x:v>cream / 제외 cocoa, coffee / 쌀 unknown</x:v>
      </x:c>
      <x:c r="E29" s="8" t="n">
        <x:v>1</x:v>
      </x:c>
      <x:c r="F29" s="8" t="n">
        <x:v>1</x:v>
      </x:c>
      <x:c r="G29" s="8" t="str">
        <x:v>없음</x:v>
      </x:c>
      <x:c r="H29" s="9" t="n">
        <x:v>1.768</x:v>
      </x:c>
      <x:c r="I29" s="8" t="n">
        <x:v>427</x:v>
      </x:c>
      <x:c r="J29" s="8" t="n">
        <x:v>117</x:v>
      </x:c>
      <x:c r="K29" s="8" t="str">
        <x:v>https://github.com/jhheo51-arch/next-cup-ai-portfolio/blob/main/evidence/heldout-result-v1.json</x:v>
      </x:c>
    </x:row>
    <x:row r="30" ht="104" customHeight="1">
      <x:c r="A30" s="3" t="str">
        <x:v>H12/2</x:v>
      </x:c>
      <x:c r="B30" s="3" t="str">
        <x:v>"커피 풍미를 싫어하는 건 아니에요. 좋아하는지도 아직 모르겠어요."</x:v>
      </x:c>
      <x:c r="C30" s="3" t="str">
        <x:v>없음 / 제외 없음 / 쌀 unknown</x:v>
      </x:c>
      <x:c r="D30" s="3" t="str">
        <x:v>없음 / 제외 없음 / 쌀 unknown</x:v>
      </x:c>
      <x:c r="E30" s="3" t="n">
        <x:v>1</x:v>
      </x:c>
      <x:c r="F30" s="3" t="n">
        <x:v>1</x:v>
      </x:c>
      <x:c r="G30" s="3" t="str">
        <x:v>없음</x:v>
      </x:c>
      <x:c r="H30" s="10" t="n">
        <x:v>1.685</x:v>
      </x:c>
      <x:c r="I30" s="3" t="n">
        <x:v>427</x:v>
      </x:c>
      <x:c r="J30" s="3" t="n">
        <x:v>71</x:v>
      </x:c>
      <x:c r="K30" s="3" t="str">
        <x:v>https://github.com/jhheo51-arch/next-cup-ai-portfolio/blob/main/evidence/heldout-result-v1.json</x:v>
      </x:c>
    </x:row>
  </x:sheetData>
  <x:mergeCells>
    <x:mergeCell ref="A2:G2"/>
    <x:mergeCell ref="A4:G4"/>
  </x:mergeCells>
  <x:conditionalFormatting sqref="E7:F30">
    <x:cfRule type="cellIs" dxfId="0" priority="1" operator="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48" hidden="0" customWidth="1"/>
    <x:col min="3" max="3" width="29" hidden="0" customWidth="1"/>
    <x:col min="4" max="4" width="29" hidden="0" customWidth="1"/>
    <x:col min="5" max="5" width="29" hidden="0" customWidth="1"/>
    <x:col min="6" max="6" width="14" hidden="0" customWidth="1"/>
    <x:col min="7" max="7" width="14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8" customHeight="1">
      <x:c r="A2" s="4" t="str">
        <x:v>과거 3종 목록 / 분류 수정 전후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42" customHeight="1">
      <x:c r="A4" s="5" t="str">
        <x:v>동일한 12조건에서 코드 수정 전후 비교. AI/고객 시험 아님. 최신 5종 결과로 재해석하지 않습니다.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6" customHeight="1">
      <x:c r="A6" s="7" t="str">
        <x:v>ID</x:v>
      </x:c>
      <x:c r="B6" s="7" t="str">
        <x:v>확인 조건</x:v>
      </x:c>
      <x:c r="C6" s="7" t="str">
        <x:v>기대 후보</x:v>
      </x:c>
      <x:c r="D6" s="7" t="str">
        <x:v>이전 후보</x:v>
      </x:c>
      <x:c r="E6" s="7" t="str">
        <x:v>수정 후보</x:v>
      </x:c>
      <x:c r="F6" s="7" t="str">
        <x:v>이전 일치</x:v>
      </x:c>
      <x:c r="G6" s="7" t="str">
        <x:v>수정 일치</x:v>
      </x:c>
    </x:row>
    <x:row r="7" ht="64" customHeight="1">
      <x:c r="A7" s="8" t="str">
        <x:v>H01</x:v>
      </x:c>
      <x:c r="B7" s="8" t="str">
        <x:v>vanilla / 제외 없음 / 쌀 필수 false</x:v>
      </x:c>
      <x:c r="C7" s="8" t="str">
        <x:v>coldbrew</x:v>
      </x:c>
      <x:c r="D7" s="8" t="str">
        <x:v>없음</x:v>
      </x:c>
      <x:c r="E7" s="8" t="str">
        <x:v>coldbrew</x:v>
      </x:c>
      <x:c r="F7" s="8" t="n">
        <x:v>0</x:v>
      </x:c>
      <x:c r="G7" s="8" t="n">
        <x:v>1</x:v>
      </x:c>
    </x:row>
    <x:row r="8" ht="64" customHeight="1">
      <x:c r="A8" s="3" t="str">
        <x:v>H02</x:v>
      </x:c>
      <x:c r="B8" s="3" t="str">
        <x:v>ice / 제외 coffee / 쌀 필수 false</x:v>
      </x:c>
      <x:c r="C8" s="3" t="str">
        <x:v>chocolate</x:v>
      </x:c>
      <x:c r="D8" s="3" t="str">
        <x:v>chocolate</x:v>
      </x:c>
      <x:c r="E8" s="3" t="str">
        <x:v>chocolate</x:v>
      </x:c>
      <x:c r="F8" s="3" t="n">
        <x:v>1</x:v>
      </x:c>
      <x:c r="G8" s="3" t="n">
        <x:v>1</x:v>
      </x:c>
    </x:row>
    <x:row r="9" ht="64" customHeight="1">
      <x:c r="A9" s="8" t="str">
        <x:v>H03</x:v>
      </x:c>
      <x:c r="B9" s="8" t="str">
        <x:v>cream / 제외 cocoa / 쌀 필수 false</x:v>
      </x:c>
      <x:c r="C9" s="8" t="str">
        <x:v>coldbrew, latte</x:v>
      </x:c>
      <x:c r="D9" s="8" t="str">
        <x:v>chocolate, coldbrew, latte</x:v>
      </x:c>
      <x:c r="E9" s="8" t="str">
        <x:v>coldbrew, latte</x:v>
      </x:c>
      <x:c r="F9" s="8" t="n">
        <x:v>0</x:v>
      </x:c>
      <x:c r="G9" s="8" t="n">
        <x:v>1</x:v>
      </x:c>
    </x:row>
    <x:row r="10" ht="64" customHeight="1">
      <x:c r="A10" s="3" t="str">
        <x:v>H04</x:v>
      </x:c>
      <x:c r="B10" s="3" t="str">
        <x:v>rice / 제외 없음 / 쌀 필수 true</x:v>
      </x:c>
      <x:c r="C10" s="3" t="str">
        <x:v>없음</x:v>
      </x:c>
      <x:c r="D10" s="3" t="str">
        <x:v>없음</x:v>
      </x:c>
      <x:c r="E10" s="3" t="str">
        <x:v>없음</x:v>
      </x:c>
      <x:c r="F10" s="3" t="n">
        <x:v>1</x:v>
      </x:c>
      <x:c r="G10" s="3" t="n">
        <x:v>1</x:v>
      </x:c>
    </x:row>
    <x:row r="11" ht="64" customHeight="1">
      <x:c r="A11" s="8" t="str">
        <x:v>H05</x:v>
      </x:c>
      <x:c r="B11" s="8" t="str">
        <x:v>ice / 제외 없음 / 쌀 필수 false</x:v>
      </x:c>
      <x:c r="C11" s="8" t="str">
        <x:v>chocolate</x:v>
      </x:c>
      <x:c r="D11" s="8" t="str">
        <x:v>chocolate</x:v>
      </x:c>
      <x:c r="E11" s="8" t="str">
        <x:v>chocolate</x:v>
      </x:c>
      <x:c r="F11" s="8" t="n">
        <x:v>1</x:v>
      </x:c>
      <x:c r="G11" s="8" t="n">
        <x:v>1</x:v>
      </x:c>
    </x:row>
    <x:row r="12" ht="64" customHeight="1">
      <x:c r="A12" s="3" t="str">
        <x:v>H06</x:v>
      </x:c>
      <x:c r="B12" s="3" t="str">
        <x:v>없음 / 제외 없음 / 쌀 필수 false</x:v>
      </x:c>
      <x:c r="C12" s="3" t="str">
        <x:v>없음</x:v>
      </x:c>
      <x:c r="D12" s="3" t="str">
        <x:v>없음</x:v>
      </x:c>
      <x:c r="E12" s="3" t="str">
        <x:v>없음</x:v>
      </x:c>
      <x:c r="F12" s="3" t="n">
        <x:v>1</x:v>
      </x:c>
      <x:c r="G12" s="3" t="n">
        <x:v>1</x:v>
      </x:c>
    </x:row>
    <x:row r="13" ht="64" customHeight="1">
      <x:c r="A13" s="8" t="str">
        <x:v>H07</x:v>
      </x:c>
      <x:c r="B13" s="8" t="str">
        <x:v>crunch / 제외 없음 / 쌀 필수 false</x:v>
      </x:c>
      <x:c r="C13" s="8" t="str">
        <x:v>없음</x:v>
      </x:c>
      <x:c r="D13" s="8" t="str">
        <x:v>없음</x:v>
      </x:c>
      <x:c r="E13" s="8" t="str">
        <x:v>없음</x:v>
      </x:c>
      <x:c r="F13" s="8" t="n">
        <x:v>1</x:v>
      </x:c>
      <x:c r="G13" s="8" t="n">
        <x:v>1</x:v>
      </x:c>
    </x:row>
    <x:row r="14" ht="64" customHeight="1">
      <x:c r="A14" s="3" t="str">
        <x:v>H08</x:v>
      </x:c>
      <x:c r="B14" s="3" t="str">
        <x:v>없음 / 제외 없음 / 쌀 필수 false</x:v>
      </x:c>
      <x:c r="C14" s="3" t="str">
        <x:v>없음</x:v>
      </x:c>
      <x:c r="D14" s="3" t="str">
        <x:v>없음</x:v>
      </x:c>
      <x:c r="E14" s="3" t="str">
        <x:v>없음</x:v>
      </x:c>
      <x:c r="F14" s="3" t="n">
        <x:v>1</x:v>
      </x:c>
      <x:c r="G14" s="3" t="n">
        <x:v>1</x:v>
      </x:c>
    </x:row>
    <x:row r="15" ht="64" customHeight="1">
      <x:c r="A15" s="8" t="str">
        <x:v>H09</x:v>
      </x:c>
      <x:c r="B15" s="8" t="str">
        <x:v>vanilla / 제외 coffee / 쌀 필수 false</x:v>
      </x:c>
      <x:c r="C15" s="8" t="str">
        <x:v>없음</x:v>
      </x:c>
      <x:c r="D15" s="8" t="str">
        <x:v>없음</x:v>
      </x:c>
      <x:c r="E15" s="8" t="str">
        <x:v>없음</x:v>
      </x:c>
      <x:c r="F15" s="8" t="n">
        <x:v>1</x:v>
      </x:c>
      <x:c r="G15" s="8" t="n">
        <x:v>1</x:v>
      </x:c>
    </x:row>
    <x:row r="16" ht="64" customHeight="1">
      <x:c r="A16" s="3" t="str">
        <x:v>H10</x:v>
      </x:c>
      <x:c r="B16" s="3" t="str">
        <x:v>없음 / 제외 없음 / 쌀 필수 false</x:v>
      </x:c>
      <x:c r="C16" s="3" t="str">
        <x:v>없음</x:v>
      </x:c>
      <x:c r="D16" s="3" t="str">
        <x:v>없음</x:v>
      </x:c>
      <x:c r="E16" s="3" t="str">
        <x:v>없음</x:v>
      </x:c>
      <x:c r="F16" s="3" t="n">
        <x:v>1</x:v>
      </x:c>
      <x:c r="G16" s="3" t="n">
        <x:v>1</x:v>
      </x:c>
    </x:row>
    <x:row r="17" ht="64" customHeight="1">
      <x:c r="A17" s="8" t="str">
        <x:v>H11</x:v>
      </x:c>
      <x:c r="B17" s="8" t="str">
        <x:v>cream / 제외 cocoa, coffee / 쌀 필수 false</x:v>
      </x:c>
      <x:c r="C17" s="8" t="str">
        <x:v>없음</x:v>
      </x:c>
      <x:c r="D17" s="8" t="str">
        <x:v>chocolate</x:v>
      </x:c>
      <x:c r="E17" s="8" t="str">
        <x:v>없음</x:v>
      </x:c>
      <x:c r="F17" s="8" t="n">
        <x:v>0</x:v>
      </x:c>
      <x:c r="G17" s="8" t="n">
        <x:v>1</x:v>
      </x:c>
    </x:row>
    <x:row r="18" ht="64" customHeight="1">
      <x:c r="A18" s="3" t="str">
        <x:v>H12</x:v>
      </x:c>
      <x:c r="B18" s="3" t="str">
        <x:v>없음 / 제외 없음 / 쌀 필수 false</x:v>
      </x:c>
      <x:c r="C18" s="3" t="str">
        <x:v>없음</x:v>
      </x:c>
      <x:c r="D18" s="3" t="str">
        <x:v>없음</x:v>
      </x:c>
      <x:c r="E18" s="3" t="str">
        <x:v>없음</x:v>
      </x:c>
      <x:c r="F18" s="3" t="n">
        <x:v>1</x:v>
      </x:c>
      <x:c r="G18" s="3" t="n">
        <x:v>1</x:v>
      </x:c>
    </x:row>
    <x:row r="21" ht="78" customHeight="1">
      <x:c r="A21" s="35" t="str">
        <x:v>남은 요구 유형</x:v>
      </x:c>
      <x:c r="B21" s="35" t="str">
        <x:v>판단</x:v>
      </x:c>
      <x:c r="C21" s="35" t="str">
        <x:v>다음 행동</x:v>
      </x:c>
    </x:row>
    <x:row r="22" ht="78" customHeight="1">
      <x:c r="A22" s="36" t="str">
        <x:v>목록 누락</x:v>
      </x:c>
      <x:c r="B22" s="36" t="str">
        <x:v>과일/요거트 후보를 빠뜨린 데이터 문제</x:v>
      </x:c>
      <x:c r="C22" s="36" t="str">
        <x:v>공식 확인 후 2종 추가 / 이번에 반영</x:v>
      </x:c>
    </x:row>
    <x:row r="23" ht="78" customHeight="1">
      <x:c r="A23" s="36" t="str">
        <x:v>해석 수정</x:v>
      </x:c>
      <x:c r="B23" s="36" t="str">
        <x:v>오해석인지 사용자가 마음을 바꾼 것인지 구분</x:v>
      </x:c>
      <x:c r="C23" s="36" t="str">
        <x:v>동의받은 수정 이유로 AI 시험 보완 / 후속 계획</x:v>
      </x:c>
    </x:row>
    <x:row r="24" ht="78" customHeight="1">
      <x:c r="A24" s="36" t="str">
        <x:v>필수 조건 미충족</x:v>
      </x:c>
      <x:c r="B24" s="36" t="str">
        <x:v>현재 5종에서 후보 없음 / 전체 시장 부재 아님</x:v>
      </x:c>
      <x:c r="C24" s="36" t="str">
        <x:v>목록 범위 점검 후 인터뷰/시음 / 후속 계획</x:v>
      </x:c>
    </x:row>
  </x:sheetData>
  <x:mergeCells>
    <x:mergeCell ref="A2:G2"/>
    <x:mergeCell ref="A4:G4"/>
  </x:mergeCells>
  <x:conditionalFormatting sqref="F7:F18">
    <x:cfRule type="cellIs" dxfId="1" priority="1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67" hidden="0" customWidth="1"/>
    <x:col min="3" max="3" width="12" hidden="0" customWidth="1"/>
    <x:col min="4" max="4" width="70" hidden="0" customWidth="1"/>
  </x:cols>
  <x:sheetData>
    <x:row r="1">
      <x:c r="A1" s="3"/>
      <x:c r="B1" s="3"/>
      <x:c r="C1" s="3"/>
      <x:c r="D1" s="3"/>
    </x:row>
    <x:row r="2" ht="38" customHeight="1">
      <x:c r="A2" s="4" t="str">
        <x:v>v08 화면 검사 14개</x:v>
      </x:c>
      <x:c r="B2" s="3"/>
      <x:c r="C2" s="3"/>
      <x:c r="D2" s="3"/>
    </x:row>
    <x:row r="3">
      <x:c r="A3" s="3"/>
      <x:c r="B3" s="3"/>
      <x:c r="C3" s="3"/>
      <x:c r="D3" s="3"/>
    </x:row>
    <x:row r="4" ht="42" customHeight="1">
      <x:c r="A4" s="5" t="str">
        <x:v>실제 AI 0회, 가상 AI 응답으로 화면 검사. 원자료 evidence/simple-results.json. 실제 연결 시험은 최종 실호출 시트.</x:v>
      </x:c>
      <x:c r="B4" s="3"/>
      <x:c r="C4" s="3"/>
      <x:c r="D4" s="3"/>
    </x:row>
    <x:row r="5">
      <x:c r="A5" s="3"/>
      <x:c r="B5" s="3"/>
      <x:c r="C5" s="3"/>
      <x:c r="D5" s="3"/>
    </x:row>
    <x:row r="6" ht="36" customHeight="1">
      <x:c r="A6" s="7" t="str">
        <x:v>ID</x:v>
      </x:c>
      <x:c r="B6" s="7" t="str">
        <x:v>확인 항목</x:v>
      </x:c>
      <x:c r="C6" s="7" t="str">
        <x:v>결과</x:v>
      </x:c>
      <x:c r="D6" s="7" t="str">
        <x:v>방법과 한계</x:v>
      </x:c>
    </x:row>
    <x:row r="7" ht="64" customHeight="1">
      <x:c r="A7" s="8" t="str">
        <x:v>B1</x:v>
      </x:c>
      <x:c r="B7" s="8" t="str">
        <x:v>기존 커뮤니티 주소는 시작 화면</x:v>
      </x:c>
      <x:c r="C7" s="8" t="str">
        <x:v>통과</x:v>
      </x:c>
      <x:c r="D7" s="8" t="str">
        <x:v>가상 시나리오 / 외부 참가자 0명</x:v>
      </x:c>
    </x:row>
    <x:row r="8" ht="64" customHeight="1">
      <x:c r="A8" s="3" t="str">
        <x:v>B2</x:v>
      </x:c>
      <x:c r="B8" s="3" t="str">
        <x:v>계정과 시험 양식 없음</x:v>
      </x:c>
      <x:c r="C8" s="3" t="str">
        <x:v>통과</x:v>
      </x:c>
      <x:c r="D8" s="3" t="str">
        <x:v>가상 시나리오 / 외부 참가자 0명</x:v>
      </x:c>
    </x:row>
    <x:row r="9" ht="64" customHeight="1">
      <x:c r="A9" s="8" t="str">
        <x:v>B3</x:v>
      </x:c>
      <x:c r="B9" s="8" t="str">
        <x:v>첫 화면 버튼에서 입력으로 이동</x:v>
      </x:c>
      <x:c r="C9" s="8" t="str">
        <x:v>통과</x:v>
      </x:c>
      <x:c r="D9" s="8" t="str">
        <x:v>가상 시나리오 / 외부 참가자 0명</x:v>
      </x:c>
    </x:row>
    <x:row r="10" ht="64" customHeight="1">
      <x:c r="A10" s="3" t="str">
        <x:v>B4</x:v>
      </x:c>
      <x:c r="B10" s="3" t="str">
        <x:v>갈린 질감 필수 후보</x:v>
      </x:c>
      <x:c r="C10" s="3" t="str">
        <x:v>통과</x:v>
      </x:c>
      <x:c r="D10" s="3" t="str">
        <x:v>가상 시나리오 / 외부 참가자 0명</x:v>
      </x:c>
    </x:row>
    <x:row r="11" ht="64" customHeight="1">
      <x:c r="A11" s="8" t="str">
        <x:v>B5</x:v>
      </x:c>
      <x:c r="B11" s="8" t="str">
        <x:v>초콜릿 제외 후 과일 후보 유지</x:v>
      </x:c>
      <x:c r="C11" s="8" t="str">
        <x:v>통과</x:v>
      </x:c>
      <x:c r="D11" s="8" t="str">
        <x:v>가상 시나리오 / 외부 참가자 0명</x:v>
      </x:c>
    </x:row>
    <x:row r="12" ht="64" customHeight="1">
      <x:c r="A12" s="3" t="str">
        <x:v>B6</x:v>
      </x:c>
      <x:c r="B12" s="3" t="str">
        <x:v>모순 없는 추천 보류</x:v>
      </x:c>
      <x:c r="C12" s="3" t="str">
        <x:v>통과</x:v>
      </x:c>
      <x:c r="D12" s="3" t="str">
        <x:v>가상 시나리오 / 외부 참가자 0명</x:v>
      </x:c>
    </x:row>
    <x:row r="13" ht="64" customHeight="1">
      <x:c r="A13" s="8" t="str">
        <x:v>B7</x:v>
      </x:c>
      <x:c r="B13" s="8" t="str">
        <x:v>가입 없이 저장 유지와 문자 처리</x:v>
      </x:c>
      <x:c r="C13" s="8" t="str">
        <x:v>통과</x:v>
      </x:c>
      <x:c r="D13" s="8" t="str">
        <x:v>가상 시나리오 / 외부 참가자 0명</x:v>
      </x:c>
    </x:row>
    <x:row r="14" ht="64" customHeight="1">
      <x:c r="A14" s="3" t="str">
        <x:v>B8</x:v>
      </x:c>
      <x:c r="B14" s="3" t="str">
        <x:v>AI 장애에도 입력 보존</x:v>
      </x:c>
      <x:c r="C14" s="3" t="str">
        <x:v>통과</x:v>
      </x:c>
      <x:c r="D14" s="3" t="str">
        <x:v>가상 시나리오 / 외부 참가자 0명</x:v>
      </x:c>
    </x:row>
    <x:row r="15" ht="64" customHeight="1">
      <x:c r="A15" s="8" t="str">
        <x:v>B9</x:v>
      </x:c>
      <x:c r="B15" s="8" t="str">
        <x:v>AI 해석 확인과 쌀 미확인 유지</x:v>
      </x:c>
      <x:c r="C15" s="8" t="str">
        <x:v>통과</x:v>
      </x:c>
      <x:c r="D15" s="8" t="str">
        <x:v>가상 시나리오 / 외부 참가자 0명</x:v>
      </x:c>
    </x:row>
    <x:row r="16" ht="64" customHeight="1">
      <x:c r="A16" s="3" t="str">
        <x:v>B10</x:v>
      </x:c>
      <x:c r="B16" s="3" t="str">
        <x:v>가로 넘침 없음 375</x:v>
      </x:c>
      <x:c r="C16" s="3" t="str">
        <x:v>통과</x:v>
      </x:c>
      <x:c r="D16" s="3" t="str">
        <x:v>가상 시나리오 / 외부 참가자 0명</x:v>
      </x:c>
    </x:row>
    <x:row r="17" ht="64" customHeight="1">
      <x:c r="A17" s="8" t="str">
        <x:v>B11</x:v>
      </x:c>
      <x:c r="B17" s="8" t="str">
        <x:v>가로 넘침 없음 812</x:v>
      </x:c>
      <x:c r="C17" s="8" t="str">
        <x:v>통과</x:v>
      </x:c>
      <x:c r="D17" s="8" t="str">
        <x:v>가상 시나리오 / 외부 참가자 0명</x:v>
      </x:c>
    </x:row>
    <x:row r="18" ht="64" customHeight="1">
      <x:c r="A18" s="3" t="str">
        <x:v>B12</x:v>
      </x:c>
      <x:c r="B18" s="3" t="str">
        <x:v>가로 넘침 없음 1440</x:v>
      </x:c>
      <x:c r="C18" s="3" t="str">
        <x:v>통과</x:v>
      </x:c>
      <x:c r="D18" s="3" t="str">
        <x:v>가상 시나리오 / 외부 참가자 0명</x:v>
      </x:c>
    </x:row>
    <x:row r="19" ht="64" customHeight="1">
      <x:c r="A19" s="8" t="str">
        <x:v>B13</x:v>
      </x:c>
      <x:c r="B19" s="8" t="str">
        <x:v>화면 가운데점 없음</x:v>
      </x:c>
      <x:c r="C19" s="8" t="str">
        <x:v>통과</x:v>
      </x:c>
      <x:c r="D19" s="8" t="str">
        <x:v>가상 시나리오 / 외부 참가자 0명</x:v>
      </x:c>
    </x:row>
    <x:row r="20" ht="64" customHeight="1">
      <x:c r="A20" s="33" t="str">
        <x:v>B14</x:v>
      </x:c>
      <x:c r="B20" s="33" t="str">
        <x:v>자바스크립트 오류 없음</x:v>
      </x:c>
      <x:c r="C20" s="33" t="str">
        <x:v>통과</x:v>
      </x:c>
      <x:c r="D20" s="33" t="str">
        <x:v>가상 시나리오 / 외부 참가자 0명</x:v>
      </x:c>
    </x:row>
  </x:sheetData>
  <x:mergeCells>
    <x:mergeCell ref="A2:D2"/>
    <x:mergeCell ref="A4:D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98" hidden="0" customWidth="1"/>
    <x:col min="3" max="3" width="16" hidden="0" customWidth="1"/>
  </x:cols>
  <x:sheetData>
    <x:row r="1">
      <x:c r="A1" s="3"/>
      <x:c r="B1" s="3"/>
      <x:c r="C1" s="3"/>
    </x:row>
    <x:row r="2" ht="38" customHeight="1">
      <x:c r="A2" s="4" t="str">
        <x:v>v08 프로그램 검사 103개</x:v>
      </x:c>
      <x:c r="B2" s="3"/>
      <x:c r="C2" s="3"/>
    </x:row>
    <x:row r="3">
      <x:c r="A3" s="3"/>
      <x:c r="B3" s="3"/>
      <x:c r="C3" s="3"/>
    </x:row>
    <x:row r="4" ht="42" customHeight="1">
      <x:c r="A4" s="5" t="str">
        <x:v>npm test / 유료 AI 호출 없음. 기존 계정/연구 서버 검사도 포함하지만 고객 화면에는 노출하지 않습니다.</x:v>
      </x:c>
      <x:c r="B4" s="3"/>
      <x:c r="C4" s="3"/>
    </x:row>
    <x:row r="5">
      <x:c r="A5" s="3"/>
      <x:c r="B5" s="3"/>
      <x:c r="C5" s="3"/>
    </x:row>
    <x:row r="6" ht="36" customHeight="1">
      <x:c r="A6" s="7" t="str">
        <x:v>ID</x:v>
      </x:c>
      <x:c r="B6" s="7" t="str">
        <x:v>검사 이름</x:v>
      </x:c>
      <x:c r="C6" s="7" t="str">
        <x:v>결과</x:v>
      </x:c>
    </x:row>
    <x:row r="7" ht="38" customHeight="1">
      <x:c r="A7" s="8" t="str">
        <x:v>T1</x:v>
      </x:c>
      <x:c r="B7" s="8" t="str">
        <x:v>쌀 풍미 필수는 모든 부분 대안보다 우선</x:v>
      </x:c>
      <x:c r="C7" s="8" t="str">
        <x:v>통과</x:v>
      </x:c>
    </x:row>
    <x:row r="8" ht="38" customHeight="1">
      <x:c r="A8" s="3" t="str">
        <x:v>T2</x:v>
      </x:c>
      <x:c r="B8" s="3" t="str">
        <x:v>사용자가 필수 조건을 해제한 경우에만 부분 대안</x:v>
      </x:c>
      <x:c r="C8" s="3" t="str">
        <x:v>통과</x:v>
      </x:c>
    </x:row>
    <x:row r="9" ht="38" customHeight="1">
      <x:c r="A9" s="8" t="str">
        <x:v>T3</x:v>
      </x:c>
      <x:c r="B9" s="8" t="str">
        <x:v>미확인 매장은 추천 보류</x:v>
      </x:c>
      <x:c r="C9" s="8" t="str">
        <x:v>통과</x:v>
      </x:c>
    </x:row>
    <x:row r="10" ht="38" customHeight="1">
      <x:c r="A10" s="3" t="str">
        <x:v>T4</x:v>
      </x:c>
      <x:c r="B10" s="3" t="str">
        <x:v>품절 후보 제외</x:v>
      </x:c>
      <x:c r="C10" s="3" t="str">
        <x:v>통과</x:v>
      </x:c>
    </x:row>
    <x:row r="11" ht="38" customHeight="1">
      <x:c r="A11" s="8" t="str">
        <x:v>T5</x:v>
      </x:c>
      <x:c r="B11" s="8" t="str">
        <x:v>선호와 필수 조건 모두 미선택은 확인 요청</x:v>
      </x:c>
      <x:c r="C11" s="8" t="str">
        <x:v>통과</x:v>
      </x:c>
    </x:row>
    <x:row r="12" ht="38" customHeight="1">
      <x:c r="A12" s="3" t="str">
        <x:v>T6</x:v>
      </x:c>
      <x:c r="B12" s="3" t="str">
        <x:v>바삭한 토핑만 원하면 억지 추천하지 않음</x:v>
      </x:c>
      <x:c r="C12" s="3" t="str">
        <x:v>통과</x:v>
      </x:c>
    </x:row>
    <x:row r="13" ht="38" customHeight="1">
      <x:c r="A13" s="8" t="str">
        <x:v>T7</x:v>
      </x:c>
      <x:c r="B13" s="8" t="str">
        <x:v>잘못된 태그와 중복 차단</x:v>
      </x:c>
      <x:c r="C13" s="8" t="str">
        <x:v>통과</x:v>
      </x:c>
    </x:row>
    <x:row r="14" ht="38" customHeight="1">
      <x:c r="A14" s="3" t="str">
        <x:v>T8</x:v>
      </x:c>
      <x:c r="B14" s="3" t="str">
        <x:v>전 조합의 필수, 품절 조건 유지</x:v>
      </x:c>
      <x:c r="C14" s="3" t="str">
        <x:v>통과</x:v>
      </x:c>
    </x:row>
    <x:row r="15" ht="38" customHeight="1">
      <x:c r="A15" s="8" t="str">
        <x:v>T9</x:v>
      </x:c>
      <x:c r="B15" s="8" t="str">
        <x:v>재출시 요청 유효</x:v>
      </x:c>
      <x:c r="C15" s="8" t="str">
        <x:v>통과</x:v>
      </x:c>
    </x:row>
    <x:row r="16" ht="38" customHeight="1">
      <x:c r="A16" s="3" t="str">
        <x:v>T10</x:v>
      </x:c>
      <x:c r="B16" s="3" t="str">
        <x:v>공백 요청, 길이 제한</x:v>
      </x:c>
      <x:c r="C16" s="3" t="str">
        <x:v>통과</x:v>
      </x:c>
    </x:row>
    <x:row r="17" ht="38" customHeight="1">
      <x:c r="A17" s="8" t="str">
        <x:v>T11</x:v>
      </x:c>
      <x:c r="B17" s="8" t="str">
        <x:v>지점 확장 요청에 메뉴와 지점 필수</x:v>
      </x:c>
      <x:c r="C17" s="8" t="str">
        <x:v>통과</x:v>
      </x:c>
    </x:row>
    <x:row r="18" ht="38" customHeight="1">
      <x:c r="A18" s="3" t="str">
        <x:v>T12</x:v>
      </x:c>
      <x:c r="B18" s="3" t="str">
        <x:v>제안은 재료와 고객 맥락 필수</x:v>
      </x:c>
      <x:c r="C18" s="3" t="str">
        <x:v>통과</x:v>
      </x:c>
    </x:row>
    <x:row r="19" ht="38" customHeight="1">
      <x:c r="A19" s="8" t="str">
        <x:v>T13</x:v>
      </x:c>
      <x:c r="B19" s="8" t="str">
        <x:v>사전에 없는 재료나 음료 형식 차단</x:v>
      </x:c>
      <x:c r="C19" s="8" t="str">
        <x:v>통과</x:v>
      </x:c>
    </x:row>
    <x:row r="20" ht="38" customHeight="1">
      <x:c r="A20" s="3" t="str">
        <x:v>T14</x:v>
      </x:c>
      <x:c r="B20" s="3" t="str">
        <x:v>기록 스키마와 시간 검증</x:v>
      </x:c>
      <x:c r="C20" s="3" t="str">
        <x:v>통과</x:v>
      </x:c>
    </x:row>
    <x:row r="21" ht="38" customHeight="1">
      <x:c r="A21" s="8" t="str">
        <x:v>T15</x:v>
      </x:c>
      <x:c r="B21" s="8" t="str">
        <x:v>필수 조건 위반 후보 저장 차단</x:v>
      </x:c>
      <x:c r="C21" s="8" t="str">
        <x:v>통과</x:v>
      </x:c>
    </x:row>
    <x:row r="22" ht="38" customHeight="1">
      <x:c r="A22" s="3" t="str">
        <x:v>T16</x:v>
      </x:c>
      <x:c r="B22" s="3" t="str">
        <x:v>후보 중복은 취향 선택 순서, 평가와 무관</x:v>
      </x:c>
      <x:c r="C22" s="3" t="str">
        <x:v>통과</x:v>
      </x:c>
    </x:row>
    <x:row r="23" ht="38" customHeight="1">
      <x:c r="A23" s="8" t="str">
        <x:v>T17</x:v>
      </x:c>
      <x:c r="B23" s="8" t="str">
        <x:v>커피 비선호이면 라떼, 콜드 브루 제외</x:v>
      </x:c>
      <x:c r="C23" s="8" t="str">
        <x:v>통과</x:v>
      </x:c>
    </x:row>
    <x:row r="24" ht="38" customHeight="1">
      <x:c r="A24" s="3" t="str">
        <x:v>T18</x:v>
      </x:c>
      <x:c r="B24" s="3" t="str">
        <x:v>5개 취향의 전체 192 조합에서 필수 조건 유지</x:v>
      </x:c>
      <x:c r="C24" s="3" t="str">
        <x:v>통과</x:v>
      </x:c>
    </x:row>
    <x:row r="25" ht="38" customHeight="1">
      <x:c r="A25" s="8" t="str">
        <x:v>T19</x:v>
      </x:c>
      <x:c r="B25" s="8" t="str">
        <x:v>기본 화면과 평가 목록의 공통 메뉴 태그 일치</x:v>
      </x:c>
      <x:c r="C25" s="8" t="str">
        <x:v>통과</x:v>
      </x:c>
    </x:row>
    <x:row r="26" ht="38" customHeight="1">
      <x:c r="A26" s="3" t="str">
        <x:v>T20</x:v>
      </x:c>
      <x:c r="B26" s="3" t="str">
        <x:v>H01 확인한 조건의 후보 일치</x:v>
      </x:c>
      <x:c r="C26" s="3" t="str">
        <x:v>통과</x:v>
      </x:c>
    </x:row>
    <x:row r="27" ht="38" customHeight="1">
      <x:c r="A27" s="8" t="str">
        <x:v>T21</x:v>
      </x:c>
      <x:c r="B27" s="8" t="str">
        <x:v>H02 확인한 조건의 후보 일치</x:v>
      </x:c>
      <x:c r="C27" s="8" t="str">
        <x:v>통과</x:v>
      </x:c>
    </x:row>
    <x:row r="28" ht="38" customHeight="1">
      <x:c r="A28" s="3" t="str">
        <x:v>T22</x:v>
      </x:c>
      <x:c r="B28" s="3" t="str">
        <x:v>H03 확인한 조건의 후보 일치</x:v>
      </x:c>
      <x:c r="C28" s="3" t="str">
        <x:v>통과</x:v>
      </x:c>
    </x:row>
    <x:row r="29" ht="38" customHeight="1">
      <x:c r="A29" s="8" t="str">
        <x:v>T23</x:v>
      </x:c>
      <x:c r="B29" s="8" t="str">
        <x:v>H04 확인한 조건의 후보 일치</x:v>
      </x:c>
      <x:c r="C29" s="8" t="str">
        <x:v>통과</x:v>
      </x:c>
    </x:row>
    <x:row r="30" ht="38" customHeight="1">
      <x:c r="A30" s="3" t="str">
        <x:v>T24</x:v>
      </x:c>
      <x:c r="B30" s="3" t="str">
        <x:v>H05 확인한 조건의 후보 일치</x:v>
      </x:c>
      <x:c r="C30" s="3" t="str">
        <x:v>통과</x:v>
      </x:c>
    </x:row>
    <x:row r="31" ht="38" customHeight="1">
      <x:c r="A31" s="8" t="str">
        <x:v>T25</x:v>
      </x:c>
      <x:c r="B31" s="8" t="str">
        <x:v>H06 확인한 조건의 후보 일치</x:v>
      </x:c>
      <x:c r="C31" s="8" t="str">
        <x:v>통과</x:v>
      </x:c>
    </x:row>
    <x:row r="32" ht="38" customHeight="1">
      <x:c r="A32" s="3" t="str">
        <x:v>T26</x:v>
      </x:c>
      <x:c r="B32" s="3" t="str">
        <x:v>H07 확인한 조건의 후보 일치</x:v>
      </x:c>
      <x:c r="C32" s="3" t="str">
        <x:v>통과</x:v>
      </x:c>
    </x:row>
    <x:row r="33" ht="38" customHeight="1">
      <x:c r="A33" s="8" t="str">
        <x:v>T27</x:v>
      </x:c>
      <x:c r="B33" s="8" t="str">
        <x:v>H08 확인한 조건의 후보 일치</x:v>
      </x:c>
      <x:c r="C33" s="8" t="str">
        <x:v>통과</x:v>
      </x:c>
    </x:row>
    <x:row r="34" ht="38" customHeight="1">
      <x:c r="A34" s="3" t="str">
        <x:v>T28</x:v>
      </x:c>
      <x:c r="B34" s="3" t="str">
        <x:v>H09 확인한 조건의 후보 일치</x:v>
      </x:c>
      <x:c r="C34" s="3" t="str">
        <x:v>통과</x:v>
      </x:c>
    </x:row>
    <x:row r="35" ht="38" customHeight="1">
      <x:c r="A35" s="8" t="str">
        <x:v>T29</x:v>
      </x:c>
      <x:c r="B35" s="8" t="str">
        <x:v>H10 확인한 조건의 후보 일치</x:v>
      </x:c>
      <x:c r="C35" s="8" t="str">
        <x:v>통과</x:v>
      </x:c>
    </x:row>
    <x:row r="36" ht="38" customHeight="1">
      <x:c r="A36" s="3" t="str">
        <x:v>T30</x:v>
      </x:c>
      <x:c r="B36" s="3" t="str">
        <x:v>H11 확인한 조건의 후보 일치</x:v>
      </x:c>
      <x:c r="C36" s="3" t="str">
        <x:v>통과</x:v>
      </x:c>
    </x:row>
    <x:row r="37" ht="38" customHeight="1">
      <x:c r="A37" s="8" t="str">
        <x:v>T31</x:v>
      </x:c>
      <x:c r="B37" s="8" t="str">
        <x:v>H12 확인한 조건의 후보 일치</x:v>
      </x:c>
      <x:c r="C37" s="8" t="str">
        <x:v>통과</x:v>
      </x:c>
    </x:row>
    <x:row r="38" ht="38" customHeight="1">
      <x:c r="A38" s="3" t="str">
        <x:v>T32</x:v>
      </x:c>
      <x:c r="B38" s="3" t="str">
        <x:v>사용자 원문에 없는 인용, assistant 인용 거절</x:v>
      </x:c>
      <x:c r="C38" s="3" t="str">
        <x:v>통과</x:v>
      </x:c>
    </x:row>
    <x:row r="39" ht="38" customHeight="1">
      <x:c r="A39" s="8" t="str">
        <x:v>T33</x:v>
      </x:c>
      <x:c r="B39" s="8" t="str">
        <x:v>필수 조건과 근거 누락 거절</x:v>
      </x:c>
      <x:c r="C39" s="8" t="str">
        <x:v>통과</x:v>
      </x:c>
    </x:row>
    <x:row r="40" ht="38" customHeight="1">
      <x:c r="A40" s="3" t="str">
        <x:v>T34</x:v>
      </x:c>
      <x:c r="B40" s="3" t="str">
        <x:v>선호 배열이 비어도 쌀 필수 조건은 추천 보류</x:v>
      </x:c>
      <x:c r="C40" s="3" t="str">
        <x:v>통과</x:v>
      </x:c>
    </x:row>
    <x:row r="41" ht="38" customHeight="1">
      <x:c r="A41" s="8" t="str">
        <x:v>T35</x:v>
      </x:c>
      <x:c r="B41" s="8" t="str">
        <x:v>예약 운영 증거: 실제 기록과 중복, 소급 방지</x:v>
      </x:c>
      <x:c r="C41" s="8" t="str">
        <x:v>통과</x:v>
      </x:c>
    </x:row>
    <x:row r="42" ht="38" customHeight="1">
      <x:c r="A42" s="3" t="str">
        <x:v>T36</x:v>
      </x:c>
      <x:c r="B42" s="3" t="str">
        <x:v>갈린 질감을 필수로 확인하면 라떼와 콜드 브루 제외</x:v>
      </x:c>
      <x:c r="C42" s="3" t="str">
        <x:v>통과</x:v>
      </x:c>
    </x:row>
    <x:row r="43" ht="38" customHeight="1">
      <x:c r="A43" s="8" t="str">
        <x:v>T37</x:v>
      </x:c>
      <x:c r="B43" s="8" t="str">
        <x:v>초콜릿을 피하면 과일 블렌디드 두 가지 유지</x:v>
      </x:c>
      <x:c r="C43" s="8" t="str">
        <x:v>통과</x:v>
      </x:c>
    </x:row>
    <x:row r="44" ht="38" customHeight="1">
      <x:c r="A44" s="3" t="str">
        <x:v>T38</x:v>
      </x:c>
      <x:c r="B44" s="3" t="str">
        <x:v>과일과 초콜릿을 모두 피하면 갈린 질감 대안 보류</x:v>
      </x:c>
      <x:c r="C44" s="3" t="str">
        <x:v>통과</x:v>
      </x:c>
    </x:row>
    <x:row r="45" ht="38" customHeight="1">
      <x:c r="A45" s="8" t="str">
        <x:v>T39</x:v>
      </x:c>
      <x:c r="B45" s="8" t="str">
        <x:v>요거트가 필수이면 딸기 요거트만 남음</x:v>
      </x:c>
      <x:c r="C45" s="8" t="str">
        <x:v>통과</x:v>
      </x:c>
    </x:row>
    <x:row r="46" ht="38" customHeight="1">
      <x:c r="A46" s="3" t="str">
        <x:v>T40</x:v>
      </x:c>
      <x:c r="B46" s="3" t="str">
        <x:v>좋아하는 감각에 없는 필수 특징은 재확인</x:v>
      </x:c>
      <x:c r="C46" s="3" t="str">
        <x:v>통과</x:v>
      </x:c>
    </x:row>
    <x:row r="47" ht="38" customHeight="1">
      <x:c r="A47" s="8" t="str">
        <x:v>T41</x:v>
      </x:c>
      <x:c r="B47" s="8" t="str">
        <x:v>필수 쌀 조건을 질감 선택으로 덮어쓰지 않음</x:v>
      </x:c>
      <x:c r="C47" s="8" t="str">
        <x:v>통과</x:v>
      </x:c>
    </x:row>
    <x:row r="48" ht="38" customHeight="1">
      <x:c r="A48" s="3" t="str">
        <x:v>T42</x:v>
      </x:c>
      <x:c r="B48" s="3" t="str">
        <x:v>필수 특징 없는 이전 입력은 호환 유지</x:v>
      </x:c>
      <x:c r="C48" s="3" t="str">
        <x:v>통과</x:v>
      </x:c>
    </x:row>
    <x:row r="49" ht="38" customHeight="1">
      <x:c r="A49" s="8" t="str">
        <x:v>T43</x:v>
      </x:c>
      <x:c r="B49" s="8" t="str">
        <x:v>공개본: 개인 응답 원문과 개인 컴퓨터 경로 없음</x:v>
      </x:c>
      <x:c r="C49" s="8" t="str">
        <x:v>통과</x:v>
      </x:c>
    </x:row>
    <x:row r="50" ht="38" customHeight="1">
      <x:c r="A50" s="3" t="str">
        <x:v>T44</x:v>
      </x:c>
      <x:c r="B50" s="3" t="str">
        <x:v>쌀 필수는 대안 없음</x:v>
      </x:c>
      <x:c r="C50" s="3" t="str">
        <x:v>통과</x:v>
      </x:c>
    </x:row>
    <x:row r="51" ht="38" customHeight="1">
      <x:c r="A51" s="8" t="str">
        <x:v>T45</x:v>
      </x:c>
      <x:c r="B51" s="8" t="str">
        <x:v>비선호 배제</x:v>
      </x:c>
      <x:c r="C51" s="8" t="str">
        <x:v>통과</x:v>
      </x:c>
    </x:row>
    <x:row r="52" ht="38" customHeight="1">
      <x:c r="A52" s="3" t="str">
        <x:v>T46</x:v>
      </x:c>
      <x:c r="B52" s="3" t="str">
        <x:v>오래된 자료는 제외</x:v>
      </x:c>
      <x:c r="C52" s="3" t="str">
        <x:v>통과</x:v>
      </x:c>
    </x:row>
    <x:row r="53" ht="38" customHeight="1">
      <x:c r="A53" s="8" t="str">
        <x:v>T47</x:v>
      </x:c>
      <x:c r="B53" s="8" t="str">
        <x:v>미래 확인일은 제외</x:v>
      </x:c>
      <x:c r="C53" s="8" t="str">
        <x:v>통과</x:v>
      </x:c>
    </x:row>
    <x:row r="54" ht="38" customHeight="1">
      <x:c r="A54" s="3" t="str">
        <x:v>T48</x:v>
      </x:c>
      <x:c r="B54" s="3" t="str">
        <x:v>보류 후보 제외</x:v>
      </x:c>
      <x:c r="C54" s="3" t="str">
        <x:v>통과</x:v>
      </x:c>
    </x:row>
    <x:row r="55" ht="38" customHeight="1">
      <x:c r="A55" s="8" t="str">
        <x:v>T49</x:v>
      </x:c>
      <x:c r="B55" s="8" t="str">
        <x:v>종료 기간 제외</x:v>
      </x:c>
      <x:c r="C55" s="8" t="str">
        <x:v>통과</x:v>
      </x:c>
    </x:row>
    <x:row r="56" ht="38" customHeight="1">
      <x:c r="A56" s="3" t="str">
        <x:v>T50</x:v>
      </x:c>
      <x:c r="B56" s="3" t="str">
        <x:v>선호와 비선호 충돌 거절</x:v>
      </x:c>
      <x:c r="C56" s="3" t="str">
        <x:v>통과</x:v>
      </x:c>
    </x:row>
    <x:row r="57" ht="38" customHeight="1">
      <x:c r="A57" s="8" t="str">
        <x:v>T51</x:v>
      </x:c>
      <x:c r="B57" s="8" t="str">
        <x:v>임의 태그 거절</x:v>
      </x:c>
      <x:c r="C57" s="8" t="str">
        <x:v>통과</x:v>
      </x:c>
    </x:row>
    <x:row r="58" ht="38" customHeight="1">
      <x:c r="A58" s="3" t="str">
        <x:v>T52</x:v>
      </x:c>
      <x:c r="B58" s="3" t="str">
        <x:v>빈 취향 확인 질문</x:v>
      </x:c>
      <x:c r="C58" s="3" t="str">
        <x:v>통과</x:v>
      </x:c>
    </x:row>
    <x:row r="59" ht="38" customHeight="1">
      <x:c r="A59" s="8" t="str">
        <x:v>T53</x:v>
      </x:c>
      <x:c r="B59" s="8" t="str">
        <x:v>검토 후보의 조건, 신선도 검사</x:v>
      </x:c>
      <x:c r="C59" s="8" t="str">
        <x:v>통과</x:v>
      </x:c>
    </x:row>
    <x:row r="60" ht="38" customHeight="1">
      <x:c r="A60" s="3" t="str">
        <x:v>T54</x:v>
      </x:c>
      <x:c r="B60" s="3" t="str">
        <x:v>초기 실제 평가 0, 평균 미측정</x:v>
      </x:c>
      <x:c r="C60" s="3" t="str">
        <x:v>통과</x:v>
      </x:c>
    </x:row>
    <x:row r="61" ht="38" customHeight="1">
      <x:c r="A61" s="8" t="str">
        <x:v>T55</x:v>
      </x:c>
      <x:c r="B61" s="8" t="str">
        <x:v>동의 없으면 시작 불가</x:v>
      </x:c>
      <x:c r="C61" s="8" t="str">
        <x:v>통과</x:v>
      </x:c>
    </x:row>
    <x:row r="62" ht="38" customHeight="1">
      <x:c r="A62" s="3" t="str">
        <x:v>T56</x:v>
      </x:c>
      <x:c r="B62" s="3" t="str">
        <x:v>다른 사람 평가 접근 불가</x:v>
      </x:c>
      <x:c r="C62" s="3" t="str">
        <x:v>통과</x:v>
      </x:c>
    </x:row>
    <x:row r="63" ht="38" customHeight="1">
      <x:c r="A63" s="8" t="str">
        <x:v>T57</x:v>
      </x:c>
      <x:c r="B63" s="8" t="str">
        <x:v>진행 중 중복 평가 거절</x:v>
      </x:c>
      <x:c r="C63" s="8" t="str">
        <x:v>통과</x:v>
      </x:c>
    </x:row>
    <x:row r="64" ht="38" customHeight="1">
      <x:c r="A64" s="3" t="str">
        <x:v>T58</x:v>
      </x:c>
      <x:c r="B64" s="3" t="str">
        <x:v>미선택 시음 평가 거절 0</x:v>
      </x:c>
      <x:c r="C64" s="3" t="str">
        <x:v>통과</x:v>
      </x:c>
    </x:row>
    <x:row r="65" ht="38" customHeight="1">
      <x:c r="A65" s="8" t="str">
        <x:v>T59</x:v>
      </x:c>
      <x:c r="B65" s="8" t="str">
        <x:v>미선택 시음 평가 거절 1</x:v>
      </x:c>
      <x:c r="C65" s="8" t="str">
        <x:v>통과</x:v>
      </x:c>
    </x:row>
    <x:row r="66" ht="38" customHeight="1">
      <x:c r="A66" s="3" t="str">
        <x:v>T60</x:v>
      </x:c>
      <x:c r="B66" s="3" t="str">
        <x:v>합성 시험은 실제 완료 수에서 제외</x:v>
      </x:c>
      <x:c r="C66" s="3" t="str">
        <x:v>통과</x:v>
      </x:c>
    </x:row>
    <x:row r="67" ht="38" customHeight="1">
      <x:c r="A67" s="8" t="str">
        <x:v>T61</x:v>
      </x:c>
      <x:c r="B67" s="8" t="str">
        <x:v>완료 평가 재작성 거절</x:v>
      </x:c>
      <x:c r="C67" s="8" t="str">
        <x:v>통과</x:v>
      </x:c>
    </x:row>
    <x:row r="68" ht="38" customHeight="1">
      <x:c r="A68" s="3" t="str">
        <x:v>T62</x:v>
      </x:c>
      <x:c r="B68" s="3" t="str">
        <x:v>회원 운영자 기능 차단</x:v>
      </x:c>
      <x:c r="C68" s="3" t="str">
        <x:v>통과</x:v>
      </x:c>
    </x:row>
    <x:row r="69" ht="38" customHeight="1">
      <x:c r="A69" s="8" t="str">
        <x:v>T63</x:v>
      </x:c>
      <x:c r="B69" s="8" t="str">
        <x:v>다른 사례 출처 혼합 거절</x:v>
      </x:c>
      <x:c r="C69" s="8" t="str">
        <x:v>통과</x:v>
      </x:c>
    </x:row>
    <x:row r="70" ht="38" customHeight="1">
      <x:c r="A70" s="3" t="str">
        <x:v>T64</x:v>
      </x:c>
      <x:c r="B70" s="3" t="str">
        <x:v>보류 반영</x:v>
      </x:c>
      <x:c r="C70" s="3" t="str">
        <x:v>통과</x:v>
      </x:c>
    </x:row>
    <x:row r="71" ht="38" customHeight="1">
      <x:c r="A71" s="8" t="str">
        <x:v>T65</x:v>
      </x:c>
      <x:c r="B71" s="8" t="str">
        <x:v>기존 버전 복구, 이력 보존</x:v>
      </x:c>
      <x:c r="C71" s="8" t="str">
        <x:v>통과</x:v>
      </x:c>
    </x:row>
    <x:row r="72" ht="38" customHeight="1">
      <x:c r="A72" s="3" t="str">
        <x:v>T66</x:v>
      </x:c>
      <x:c r="B72" s="3" t="str">
        <x:v>목록 부재를 단종으로 변경 못 함</x:v>
      </x:c>
      <x:c r="C72" s="3" t="str">
        <x:v>통과</x:v>
      </x:c>
    </x:row>
    <x:row r="73" ht="38" customHeight="1">
      <x:c r="A73" s="8" t="str">
        <x:v>T67</x:v>
      </x:c>
      <x:c r="B73" s="8" t="str">
        <x:v>근거 묶음에 개인 응답 없음</x:v>
      </x:c>
      <x:c r="C73" s="8" t="str">
        <x:v>통과</x:v>
      </x:c>
    </x:row>
    <x:row r="74" ht="38" customHeight="1">
      <x:c r="A74" s="3" t="str">
        <x:v>T68</x:v>
      </x:c>
      <x:c r="B74" s="3" t="str">
        <x:v>철회하면 원문 제거, 집계 제외</x:v>
      </x:c>
      <x:c r="C74" s="3" t="str">
        <x:v>통과</x:v>
      </x:c>
    </x:row>
    <x:row r="75" ht="38" customHeight="1">
      <x:c r="A75" s="8" t="str">
        <x:v>T69</x:v>
      </x:c>
      <x:c r="B75" s="8" t="str">
        <x:v>평가 기록, 운영 검토, 복구</x:v>
      </x:c>
      <x:c r="C75" s="8" t="str">
        <x:v>통과</x:v>
      </x:c>
    </x:row>
    <x:row r="76" ht="38" customHeight="1">
      <x:c r="A76" s="3" t="str">
        <x:v>T70</x:v>
      </x:c>
      <x:c r="B76" s="3" t="str">
        <x:v>비회원은 게시 목록 불가</x:v>
      </x:c>
      <x:c r="C76" s="3" t="str">
        <x:v>통과</x:v>
      </x:c>
    </x:row>
    <x:row r="77" ht="38" customHeight="1">
      <x:c r="A77" s="8" t="str">
        <x:v>T71</x:v>
      </x:c>
      <x:c r="B77" s="8" t="str">
        <x:v>외부 Origin과 헤더 누락 차단</x:v>
      </x:c>
      <x:c r="C77" s="8" t="str">
        <x:v>통과</x:v>
      </x:c>
    </x:row>
    <x:row r="78" ht="38" customHeight="1">
      <x:c r="A78" s="3" t="str">
        <x:v>T72</x:v>
      </x:c>
      <x:c r="B78" s="3" t="str">
        <x:v>짧은 비밀번호 차단</x:v>
      </x:c>
      <x:c r="C78" s="3" t="str">
        <x:v>통과</x:v>
      </x:c>
    </x:row>
    <x:row r="79" ht="38" customHeight="1">
      <x:c r="A79" s="8" t="str">
        <x:v>T73</x:v>
      </x:c>
      <x:c r="B79" s="8" t="str">
        <x:v>초대 가입과 쿠키</x:v>
      </x:c>
      <x:c r="C79" s="8" t="str">
        <x:v>통과</x:v>
      </x:c>
    </x:row>
    <x:row r="80" ht="38" customHeight="1">
      <x:c r="A80" s="3" t="str">
        <x:v>T74</x:v>
      </x:c>
      <x:c r="B80" s="3" t="str">
        <x:v>초대 재사용 거절</x:v>
      </x:c>
      <x:c r="C80" s="3" t="str">
        <x:v>통과</x:v>
      </x:c>
    </x:row>
    <x:row r="81" ht="38" customHeight="1">
      <x:c r="A81" s="8" t="str">
        <x:v>T75</x:v>
      </x:c>
      <x:c r="B81" s="8" t="str">
        <x:v>다른 회원과 운영자 가입</x:v>
      </x:c>
      <x:c r="C81" s="8" t="str">
        <x:v>통과</x:v>
      </x:c>
    </x:row>
    <x:row r="82" ht="38" customHeight="1">
      <x:c r="A82" s="3" t="str">
        <x:v>T76</x:v>
      </x:c>
      <x:c r="B82" s="3" t="str">
        <x:v>비밀번호 평문 미저장</x:v>
      </x:c>
      <x:c r="C82" s="3" t="str">
        <x:v>통과</x:v>
      </x:c>
    </x:row>
    <x:row r="83" ht="38" customHeight="1">
      <x:c r="A83" s="8" t="str">
        <x:v>T77</x:v>
      </x:c>
      <x:c r="B83" s="8" t="str">
        <x:v>잘못된 로그인 거절</x:v>
      </x:c>
      <x:c r="C83" s="8" t="str">
        <x:v>통과</x:v>
      </x:c>
    </x:row>
    <x:row r="84" ht="38" customHeight="1">
      <x:c r="A84" s="3" t="str">
        <x:v>T78</x:v>
      </x:c>
      <x:c r="B84" s="3" t="str">
        <x:v>동의 없는 게시 거절</x:v>
      </x:c>
      <x:c r="C84" s="3" t="str">
        <x:v>통과</x:v>
      </x:c>
    </x:row>
    <x:row r="85" ht="38" customHeight="1">
      <x:c r="A85" s="8" t="str">
        <x:v>T79</x:v>
      </x:c>
      <x:c r="B85" s="8" t="str">
        <x:v>개인정보 패턴 게시 차단</x:v>
      </x:c>
      <x:c r="C85" s="8" t="str">
        <x:v>통과</x:v>
      </x:c>
    </x:row>
    <x:row r="86" ht="38" customHeight="1">
      <x:c r="A86" s="3" t="str">
        <x:v>T80</x:v>
      </x:c>
      <x:c r="B86" s="3" t="str">
        <x:v>실제 저장과 목록 읽기</x:v>
      </x:c>
      <x:c r="C86" s="3" t="str">
        <x:v>통과</x:v>
      </x:c>
    </x:row>
    <x:row r="87" ht="38" customHeight="1">
      <x:c r="A87" s="8" t="str">
        <x:v>T81</x:v>
      </x:c>
      <x:c r="B87" s="8" t="str">
        <x:v>타인의 게시물 수정 거절</x:v>
      </x:c>
      <x:c r="C87" s="8" t="str">
        <x:v>통과</x:v>
      </x:c>
    </x:row>
    <x:row r="88" ht="38" customHeight="1">
      <x:c r="A88" s="3" t="str">
        <x:v>T82</x:v>
      </x:c>
      <x:c r="B88" s="3" t="str">
        <x:v>작성자 수정과 오래된 버전 충돌</x:v>
      </x:c>
      <x:c r="C88" s="3" t="str">
        <x:v>통과</x:v>
      </x:c>
    </x:row>
    <x:row r="89" ht="38" customHeight="1">
      <x:c r="A89" s="8" t="str">
        <x:v>T83</x:v>
      </x:c>
      <x:c r="B89" s="8" t="str">
        <x:v>같은 표를 반복해도 한 표</x:v>
      </x:c>
      <x:c r="C89" s="8" t="str">
        <x:v>통과</x:v>
      </x:c>
    </x:row>
    <x:row r="90" ht="38" customHeight="1">
      <x:c r="A90" s="3" t="str">
        <x:v>T84</x:v>
      </x:c>
      <x:c r="B90" s="3" t="str">
        <x:v>이유 변경과 취소</x:v>
      </x:c>
      <x:c r="C90" s="3" t="str">
        <x:v>통과</x:v>
      </x:c>
    </x:row>
    <x:row r="91" ht="38" customHeight="1">
      <x:c r="A91" s="8" t="str">
        <x:v>T85</x:v>
      </x:c>
      <x:c r="B91" s="8" t="str">
        <x:v>신고 저장과 중복 방지</x:v>
      </x:c>
      <x:c r="C91" s="8" t="str">
        <x:v>통과</x:v>
      </x:c>
    </x:row>
    <x:row r="92" ht="38" customHeight="1">
      <x:c r="A92" s="3" t="str">
        <x:v>T86</x:v>
      </x:c>
      <x:c r="B92" s="3" t="str">
        <x:v>운영 화면 권한</x:v>
      </x:c>
      <x:c r="C92" s="3" t="str">
        <x:v>통과</x:v>
      </x:c>
    </x:row>
    <x:row r="93" ht="38" customHeight="1">
      <x:c r="A93" s="8" t="str">
        <x:v>T87</x:v>
      </x:c>
      <x:c r="B93" s="8" t="str">
        <x:v>운영자 숨김, 복구 및 숨긴 글 투표 차단</x:v>
      </x:c>
      <x:c r="C93" s="8" t="str">
        <x:v>통과</x:v>
      </x:c>
    </x:row>
    <x:row r="94" ht="38" customHeight="1">
      <x:c r="A94" s="3" t="str">
        <x:v>T88</x:v>
      </x:c>
      <x:c r="B94" s="3" t="str">
        <x:v>취향 API 전송 동의 필수</x:v>
      </x:c>
      <x:c r="C94" s="3" t="str">
        <x:v>통과</x:v>
      </x:c>
    </x:row>
    <x:row r="95" ht="38" customHeight="1">
      <x:c r="A95" s="8" t="str">
        <x:v>T89</x:v>
      </x:c>
      <x:c r="B95" s="8" t="str">
        <x:v>요약 API 근거와 표본 건수</x:v>
      </x:c>
      <x:c r="C95" s="8" t="str">
        <x:v>통과</x:v>
      </x:c>
    </x:row>
    <x:row r="96" ht="38" customHeight="1">
      <x:c r="A96" s="3" t="str">
        <x:v>T90</x:v>
      </x:c>
      <x:c r="B96" s="3" t="str">
        <x:v>조건 검사와 출처</x:v>
      </x:c>
      <x:c r="C96" s="3" t="str">
        <x:v>통과</x:v>
      </x:c>
    </x:row>
    <x:row r="97" ht="38" customHeight="1">
      <x:c r="A97" s="8" t="str">
        <x:v>T91</x:v>
      </x:c>
      <x:c r="B97" s="8" t="str">
        <x:v>비선호 겹침은 잘못된 입력</x:v>
      </x:c>
      <x:c r="C97" s="8" t="str">
        <x:v>통과</x:v>
      </x:c>
    </x:row>
    <x:row r="98" ht="38" customHeight="1">
      <x:c r="A98" s="3" t="str">
        <x:v>T92</x:v>
      </x:c>
      <x:c r="B98" s="3" t="str">
        <x:v>비공개 전환 및 빈 자료 요약 차단</x:v>
      </x:c>
      <x:c r="C98" s="3" t="str">
        <x:v>통과</x:v>
      </x:c>
    </x:row>
    <x:row r="99" ht="38" customHeight="1">
      <x:c r="A99" s="8" t="str">
        <x:v>T93</x:v>
      </x:c>
      <x:c r="B99" s="8" t="str">
        <x:v>로그아웃 세션 폐기</x:v>
      </x:c>
      <x:c r="C99" s="8" t="str">
        <x:v>통과</x:v>
      </x:c>
    </x:row>
    <x:row r="100" ht="38" customHeight="1">
      <x:c r="A100" s="3" t="str">
        <x:v>T94</x:v>
      </x:c>
      <x:c r="B100" s="3" t="str">
        <x:v>키와 DB 파일 제공 안 함</x:v>
      </x:c>
      <x:c r="C100" s="3" t="str">
        <x:v>통과</x:v>
      </x:c>
    </x:row>
    <x:row r="101" ht="38" customHeight="1">
      <x:c r="A101" s="8" t="str">
        <x:v>T95</x:v>
      </x:c>
      <x:c r="B101" s="8" t="str">
        <x:v>HTTP 회원, 게시, 투표, 권한 통합</x:v>
      </x:c>
      <x:c r="C101" s="8" t="str">
        <x:v>통과</x:v>
      </x:c>
    </x:row>
    <x:row r="102" ht="38" customHeight="1">
      <x:c r="A102" s="3" t="str">
        <x:v>T96</x:v>
      </x:c>
      <x:c r="B102" s="3" t="str">
        <x:v>AI 출력 검사</x:v>
      </x:c>
      <x:c r="C102" s="3" t="str">
        <x:v>통과</x:v>
      </x:c>
    </x:row>
    <x:row r="103" ht="46" customHeight="1">
      <x:c r="A103" s="22" t="str">
        <x:v>T97</x:v>
      </x:c>
      <x:c r="B103" s="22" t="str">
        <x:v>정상 JSON</x:v>
      </x:c>
      <x:c r="C103" s="22" t="str">
        <x:v>통과</x:v>
      </x:c>
    </x:row>
    <x:row r="104" ht="46" customHeight="1">
      <x:c r="A104" s="22" t="str">
        <x:v>T98</x:v>
      </x:c>
      <x:c r="B104" s="22" t="str">
        <x:v>잘못된 응답은 적용하지 않음</x:v>
      </x:c>
      <x:c r="C104" s="22" t="str">
        <x:v>통과</x:v>
      </x:c>
    </x:row>
    <x:row r="105" ht="46" customHeight="1">
      <x:c r="A105" s="22" t="str">
        <x:v>T99</x:v>
      </x:c>
      <x:c r="B105" s="22" t="str">
        <x:v>한도 오류</x:v>
      </x:c>
      <x:c r="C105" s="22" t="str">
        <x:v>통과</x:v>
      </x:c>
    </x:row>
    <x:row r="106" ht="46" customHeight="1">
      <x:c r="A106" s="22" t="str">
        <x:v>T100</x:v>
      </x:c>
      <x:c r="B106" s="22" t="str">
        <x:v>시간 초과</x:v>
      </x:c>
      <x:c r="C106" s="22" t="str">
        <x:v>통과</x:v>
      </x:c>
    </x:row>
    <x:row r="107" ht="46" customHeight="1">
      <x:c r="A107" s="22" t="str">
        <x:v>T101</x:v>
      </x:c>
      <x:c r="B107" s="22" t="str">
        <x:v>키 없으면 호출 안 함</x:v>
      </x:c>
      <x:c r="C107" s="22" t="str">
        <x:v>통과</x:v>
      </x:c>
    </x:row>
    <x:row r="108" ht="46" customHeight="1">
      <x:c r="A108" s="22" t="str">
        <x:v>T102</x:v>
      </x:c>
      <x:c r="B108" s="22" t="str">
        <x:v>Gemini 실제 호출 없이 오류 경로 검사</x:v>
      </x:c>
      <x:c r="C108" s="22" t="str">
        <x:v>통과</x:v>
      </x:c>
    </x:row>
    <x:row r="109" ht="46" customHeight="1">
      <x:c r="A109" s="22" t="str">
        <x:v>T103</x:v>
      </x:c>
      <x:c r="B109" s="22" t="str">
        <x:v>AI 호출 상한과 민감정보 없는 운영 기록</x:v>
      </x:c>
      <x:c r="C109" s="22" t="str">
        <x:v>통과</x:v>
      </x:c>
    </x:row>
  </x:sheetData>
  <x:mergeCells>
    <x:mergeCell ref="A2:C2"/>
    <x:mergeCell ref="A4:C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26" hidden="0" customWidth="1"/>
    <x:col min="4" max="4" width="34" hidden="0" customWidth="1"/>
    <x:col min="5" max="5" width="57" hidden="0" customWidth="1"/>
    <x:col min="6" max="6" width="19" hidden="0" customWidth="1"/>
  </x:cols>
  <x:sheetData>
    <x:row r="1">
      <x:c r="A1" s="3"/>
      <x:c r="B1" s="3"/>
      <x:c r="C1" s="3"/>
      <x:c r="D1" s="3"/>
      <x:c r="E1" s="3"/>
      <x:c r="F1" s="3"/>
    </x:row>
    <x:row r="2" ht="38" customHeight="1">
      <x:c r="A2" s="4" t="str">
        <x:v>메뉴 6종의 판매 이력 조사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42" customHeight="1">
      <x:c r="A4" s="5" t="str">
        <x:v>조사 이력은 6종, 현재 추천 목록은 5종입니다. 서로 다른 범위이며 지점 재고는 확인하지 않습니다.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 ht="36" customHeight="1">
      <x:c r="A6" s="7" t="str">
        <x:v>ID</x:v>
      </x:c>
      <x:c r="B6" s="7" t="str">
        <x:v>메뉴</x:v>
      </x:c>
      <x:c r="C6" s="7" t="str">
        <x:v>유형</x:v>
      </x:c>
      <x:c r="D6" s="7" t="str">
        <x:v>상태</x:v>
      </x:c>
      <x:c r="E6" s="7" t="str">
        <x:v>기획에 반영한 내용</x:v>
      </x:c>
      <x:c r="F6" s="7" t="str">
        <x:v>근거 ID</x:v>
      </x:c>
    </x:row>
    <x:row r="7" ht="104" customHeight="1">
      <x:c r="A7" s="8" t="str">
        <x:v>rice</x:v>
      </x:c>
      <x:c r="B7" s="8" t="str">
        <x:v>이천 햅쌀 크림 프라푸치노</x:v>
      </x:c>
      <x:c r="C7" s="8" t="str">
        <x:v>재출시 이력</x:v>
      </x:c>
      <x:c r="D7" s="8" t="str">
        <x:v>현재 판매 미확인</x:v>
      </x:c>
      <x:c r="E7" s="8" t="str">
        <x:v>작성자의 경험을 출발점으로 삼았습니다. 좋아하는 감각과 필수 조건을 분리하며, 맛의 유사성을 실제 대체 선택이나 만족도로 단정하지 않습니다.</x:v>
      </x:c>
      <x:c r="F7" s="8" t="str">
        <x:v>S01, S08, S09</x:v>
      </x:c>
    </x:row>
    <x:row r="8" ht="104" customHeight="1">
      <x:c r="A8" s="3" t="str">
        <x:v>vanilla</x:v>
      </x:c>
      <x:c r="B8" s="3" t="str">
        <x:v>바닐라 크림 콜드 브루</x:v>
      </x:c>
      <x:c r="C8" s="3" t="str">
        <x:v>시즌 → 상시</x:v>
      </x:c>
      <x:c r="D8" s="3" t="str">
        <x:v>상시 전환 이력, 공식 소개 확인</x:v>
      </x:c>
      <x:c r="E8" s="3" t="str">
        <x:v>이용자 요청이 상시 전환으로 이어진 사례. 현재 이용 가능할 수 있는 메뉴를 무조건 재출시 요청 대상으로 취급하지 않습니다.</x:v>
      </x:c>
      <x:c r="F8" s="3" t="str">
        <x:v>S02, S07</x:v>
      </x:c>
    </x:row>
    <x:row r="9" ht="104" customHeight="1">
      <x:c r="A9" s="8" t="str">
        <x:v>custard</x:v>
      </x:c>
      <x:c r="B9" s="8" t="str">
        <x:v>슈크림 라떼</x:v>
      </x:c>
      <x:c r="C9" s="8" t="str">
        <x:v>반복 시즌</x:v>
      </x:c>
      <x:c r="D9" s="8" t="str">
        <x:v>확인된 봄 판매 기간 종료</x:v>
      </x:c>
      <x:c r="E9" s="8" t="str">
        <x:v>재출시를 기다리는 마음과 단맛에 대한 상반된 반응을 함께 봅니다. 덜 달게 만드는 것이 모두에게 개선은 아닙니다.</x:v>
      </x:c>
      <x:c r="F9" s="8" t="str">
        <x:v>S03, R01, R02, R03</x:v>
      </x:c>
    </x:row>
    <x:row r="10" ht="104" customHeight="1">
      <x:c r="A10" s="3" t="str">
        <x:v>chai</x:v>
      </x:c>
      <x:c r="B10" s="3" t="str">
        <x:v>차이 티 라떼</x:v>
      </x:c>
      <x:c r="C10" s="3" t="str">
        <x:v>판매 종료 → 한정 복귀</x:v>
      </x:c>
      <x:c r="D10" s="3" t="str">
        <x:v>확인된 한정 판매 기간 종료</x:v>
      </x:c>
      <x:c r="E10" s="3" t="str">
        <x:v>2024년 판매 종료 뒤 요청에 따라 2026년 4월 지정 매장에 복귀. 전국 상시 복귀와 구별합니다.</x:v>
      </x:c>
      <x:c r="F10" s="3" t="str">
        <x:v>S04</x:v>
      </x:c>
    </x:row>
    <x:row r="11" ht="104" customHeight="1">
      <x:c r="A11" s="8" t="str">
        <x:v>glazed</x:v>
      </x:c>
      <x:c r="B11" s="8" t="str">
        <x:v>블랙 글레이즈드 라떼</x:v>
      </x:c>
      <x:c r="C11" s="8" t="str">
        <x:v>반복 시즌, 누적 인기</x:v>
      </x:c>
      <x:c r="D11" s="8" t="str">
        <x:v>2026-10-06 발표 기준 시즌 판매</x:v>
      </x:c>
      <x:c r="E11" s="8" t="str">
        <x:v>인기가 많아도 상시 전환하지 않은 반례. 계절을 기다리는 가치와 접근 불편을 함께 확인합니다.</x:v>
      </x:c>
      <x:c r="F11" s="8" t="str">
        <x:v>S05</x:v>
      </x:c>
    </x:row>
    <x:row r="12" ht="104" customHeight="1">
      <x:c r="A12" s="3" t="str">
        <x:v>jeju</x:v>
      </x:c>
      <x:c r="B12" s="3" t="str">
        <x:v>제주 비자림 콜드 브루</x:v>
      </x:c>
      <x:c r="C12" s="3" t="str">
        <x:v>지역 한정 → 판매처 확대</x:v>
      </x:c>
      <x:c r="D12" s="3" t="str">
        <x:v>과거 확대 이력, 현재 재확인 필요</x:v>
      </x:c>
      <x:c r="E12" s="3" t="str">
        <x:v>지역 메뉴도 기간별 예외 매장을 가진다는 사례. 제주라는 이름만 보고 현재 판매처를 단정하지 않습니다.</x:v>
      </x:c>
      <x:c r="F12" s="3" t="str">
        <x:v>S06</x:v>
      </x:c>
    </x:row>
  </x:sheetData>
  <x:mergeCells>
    <x:mergeCell ref="A2:F2"/>
    <x:mergeCell ref="A4:F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30" hidden="0" customWidth="1"/>
    <x:col min="4" max="4" width="14" hidden="0" customWidth="1"/>
    <x:col min="5" max="5" width="14" hidden="0" customWidth="1"/>
    <x:col min="6" max="6" width="53" hidden="0" customWidth="1"/>
    <x:col min="7" max="7" width="51" hidden="0" customWidth="1"/>
    <x:col min="8" max="8" width="6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4" t="str">
        <x:v>공식 자료와 공개 후기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5" t="str">
        <x:v>기존 공식/후기 자료와 S13을 구분. 공개 후기는 고객 검증 표본이 아닙니다. 발표일 빈칸은 미확인.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36" customHeight="1">
      <x:c r="A6" s="7" t="str">
        <x:v>ID</x:v>
      </x:c>
      <x:c r="B6" s="7" t="str">
        <x:v>유형</x:v>
      </x:c>
      <x:c r="C6" s="7" t="str">
        <x:v>제목</x:v>
      </x:c>
      <x:c r="D6" s="7" t="str">
        <x:v>발표일</x:v>
      </x:c>
      <x:c r="E6" s="7" t="str">
        <x:v>확인일</x:v>
      </x:c>
      <x:c r="F6" s="7" t="str">
        <x:v>확인한 내용</x:v>
      </x:c>
      <x:c r="G6" s="7" t="str">
        <x:v>이 자료로 알 수 없는 것</x:v>
      </x:c>
      <x:c r="H6" s="7" t="str">
        <x:v>URL</x:v>
      </x:c>
    </x:row>
    <x:row r="7" ht="110" customHeight="1">
      <x:c r="A7" s="8" t="str">
        <x:v>S01</x:v>
      </x:c>
      <x:c r="B7" s="8" t="str">
        <x:v>공식</x:v>
      </x:c>
      <x:c r="C7" s="8" t="str">
        <x:v>햅쌀 크림 재출시</x:v>
      </x:c>
      <x:c r="D7" s="11" t="n">
        <x:v>43608</x:v>
      </x:c>
      <x:c r="E7" s="11" t="n">
        <x:v>46302</x:v>
      </x:c>
      <x:c r="F7" s="8" t="str">
        <x:v>2019년 5월 크림 버전 재출시. 연중 판매 발표는 새 커피 버전에 한정. 30만 잔은 5월 프라푸치노 2종 합산.</x:v>
      </x:c>
      <x:c r="G7" s="8" t="str">
        <x:v>현재 수요, 영구 단종, 종료 사유를 입증하지 않음.</x:v>
      </x:c>
      <x:c r="H7" s="8" t="str">
        <x:v>https://www.shinsegaegroupnewsroom.com/starbucks-organic-farm-produce-popular/</x:v>
      </x:c>
    </x:row>
    <x:row r="8" ht="110" customHeight="1">
      <x:c r="A8" s="3" t="str">
        <x:v>S02</x:v>
      </x:c>
      <x:c r="B8" s="3" t="str">
        <x:v>공식</x:v>
      </x:c>
      <x:c r="C8" s="3" t="str">
        <x:v>시즌에서 상시로</x:v>
      </x:c>
      <x:c r="D8" s="12" t="n">
        <x:v>43363</x:v>
      </x:c>
      <x:c r="E8" s="12" t="n">
        <x:v>46302</x:v>
      </x:c>
      <x:c r="F8" s="3" t="str">
        <x:v>2017년 4월 프로모션 출시 후 고객 요청으로 상시 판매 전환. 점장 추천 설문은 고객 선호 조사와 다름.</x:v>
      </x:c>
      <x:c r="G8" s="3" t="str">
        <x:v>상시 전환일의 정확한 날짜와 지금 지점 재고는 미확인.</x:v>
      </x:c>
      <x:c r="H8" s="3" t="str">
        <x:v>https://www.shinsegaegroupnewsroom.com/starbucks-vanilla-cream-cold-brew/</x:v>
      </x:c>
    </x:row>
    <x:row r="9" ht="110" customHeight="1">
      <x:c r="A9" s="8" t="str">
        <x:v>S03</x:v>
      </x:c>
      <x:c r="B9" s="8" t="str">
        <x:v>공식</x:v>
      </x:c>
      <x:c r="C9" s="8" t="str">
        <x:v>슈크림 봄 시즌</x:v>
      </x:c>
      <x:c r="D9" s="11" t="n">
        <x:v>46084</x:v>
      </x:c>
      <x:c r="E9" s="11" t="n">
        <x:v>46302</x:v>
      </x:c>
      <x:c r="F9" s="8" t="str">
        <x:v>2017년 출시한 슈크림 라떼. 2026년 봄 6종 라인업. 누적 2,600만 잔은 확장된 슈크림 음료 전체 합산.</x:v>
      </x:c>
      <x:c r="G9" s="8" t="str">
        <x:v>오리지널 단독 판매량, 상시 판매의 근거 아님.</x:v>
      </x:c>
      <x:c r="H9" s="8" t="str">
        <x:v>https://www.shinsegaegroupnewsroom.com/the-evolution-of-starbucks-custard-cream-latte/</x:v>
      </x:c>
    </x:row>
    <x:row r="10" ht="110" customHeight="1">
      <x:c r="A10" s="3" t="str">
        <x:v>S04</x:v>
      </x:c>
      <x:c r="B10" s="3" t="str">
        <x:v>공식</x:v>
      </x:c>
      <x:c r="C10" s="3" t="str">
        <x:v>차이 티 한정 복귀</x:v>
      </x:c>
      <x:c r="D10" s="12" t="n">
        <x:v>46112</x:v>
      </x:c>
      <x:c r="E10" s="12" t="n">
        <x:v>46302</x:v>
      </x:c>
      <x:c r="F10" s="3" t="str">
        <x:v>고객 요청 후 2026년 4월 1~14일 신세계 계열사 입점 112개 매장에 한정 재출시. SNS 반응은 회사가 선별해 소개한 것.</x:v>
      </x:c>
      <x:c r="G10" s="3" t="str">
        <x:v>현재 전국 상시 판매, 공정한 고객 표본으로 해석하지 않음.</x:v>
      </x:c>
      <x:c r="H10" s="3" t="str">
        <x:v>https://www.shinsegaegroupnewsroom.com/starbucks-releases-chai-tea-latte-to-celebrate-april-fools-day/</x:v>
      </x:c>
    </x:row>
    <x:row r="11" ht="110" customHeight="1">
      <x:c r="A11" s="8" t="str">
        <x:v>S05</x:v>
      </x:c>
      <x:c r="B11" s="8" t="str">
        <x:v>공식</x:v>
      </x:c>
      <x:c r="C11" s="8" t="str">
        <x:v>블랙 글레이즈드 가을 반복</x:v>
      </x:c>
      <x:c r="D11" s="11" t="n">
        <x:v>46301</x:v>
      </x:c>
      <x:c r="E11" s="11" t="n">
        <x:v>46302</x:v>
      </x:c>
      <x:c r="F11" s="8" t="str">
        <x:v>2019년 이후 가을 시즌 반복 출시. 2026년 8월 판매 시작. 3,000만 잔은 발표 시점 누적이며 연간 수요가 아님.</x:v>
      </x:c>
      <x:c r="G11" s="8" t="str">
        <x:v>상시 전환 아님. 개별 매장 재고, 시즌 종료일은 별도 확인.</x:v>
      </x:c>
      <x:c r="H11" s="8" t="str">
        <x:v>https://www.shinsegaegroupnewsroom.com/starbucks-black-glazed-latte-30-million-cups/</x:v>
      </x:c>
    </x:row>
    <x:row r="12" ht="110" customHeight="1">
      <x:c r="A12" s="3" t="str">
        <x:v>S06</x:v>
      </x:c>
      <x:c r="B12" s="3" t="str">
        <x:v>공식</x:v>
      </x:c>
      <x:c r="C12" s="3" t="str">
        <x:v>제주 메뉴 판매처 한시 확대</x:v>
      </x:c>
      <x:c r="D12" s="12" t="n">
        <x:v>45012</x:v>
      </x:c>
      <x:c r="E12" s="12" t="n">
        <x:v>46302</x:v>
      </x:c>
      <x:c r="F12" s="3" t="str">
        <x:v>제주 비자림 콜드 브루 등을 제주 외 7개 지정 매장으로 한시 확대.</x:v>
      </x:c>
      <x:c r="G12" s="3" t="str">
        <x:v>2023년 이력이며 현재 7개 매장에서 판매한다는 근거 아님.</x:v>
      </x:c>
      <x:c r="H12" s="3" t="str">
        <x:v>https://www.shinsegaegroupnewsroom.com/starbucks-jeju-limited-seoul-daegu/</x:v>
      </x:c>
    </x:row>
    <x:row r="13" ht="110" customHeight="1">
      <x:c r="A13" s="8" t="str">
        <x:v>R01</x:v>
      </x:c>
      <x:c r="B13" s="8" t="str">
        <x:v>공개 후기</x:v>
      </x:c>
      <x:c r="C13" s="8" t="str">
        <x:v>슈크림을 기다리는 후기</x:v>
      </x:c>
      <x:c r="D13" s="11" t="n">
        <x:v>45360</x:v>
      </x:c>
      <x:c r="E13" s="11" t="n">
        <x:v>46302</x:v>
      </x:c>
      <x:c r="F13" s="8" t="str">
        <x:v>시즌 외 접근 욕구와 시럽을 줄이는 행동을 서술한 개인 후기.</x:v>
      </x:c>
      <x:c r="G13" s="8" t="str">
        <x:v>구매 사실 독립 검증 없음. 한 작성자의 자기보고.</x:v>
      </x:c>
      <x:c r="H13" s="8" t="str">
        <x:v>https://gooruemi.tistory.com/8</x:v>
      </x:c>
    </x:row>
    <x:row r="14" ht="110" customHeight="1">
      <x:c r="A14" s="3" t="str">
        <x:v>R02</x:v>
      </x:c>
      <x:c r="B14" s="3" t="str">
        <x:v>공개 후기</x:v>
      </x:c>
      <x:c r="C14" s="3" t="str">
        <x:v>선출시, 맛 변화에 대한 후기</x:v>
      </x:c>
      <x:c r="D14" s="12"/>
      <x:c r="E14" s="12" t="n">
        <x:v>46302</x:v>
      </x:c>
      <x:c r="F14" s="3" t="str">
        <x:v>선출시 메뉴가 앱에서 안 보여 매장에서 문의한 경험. 같은 글에서 부드러운 말차 조합을 긍정적으로 평가.</x:v>
      </x:c>
      <x:c r="G14" s="3" t="str">
        <x:v>행사, 쿠폰 맥락. 앱에 없음이 미판매라는 뜻이 아니라는 탐색 신호. 작성일 정확히 미확인.</x:v>
      </x:c>
      <x:c r="H14" s="3" t="str">
        <x:v>https://yerssy.tistory.com/29</x:v>
      </x:c>
    </x:row>
    <x:row r="15" ht="110" customHeight="1">
      <x:c r="A15" s="8" t="str">
        <x:v>R03</x:v>
      </x:c>
      <x:c r="B15" s="8" t="str">
        <x:v>공개 후기</x:v>
      </x:c>
      <x:c r="C15" s="8" t="str">
        <x:v>달콤함에 대한 반대 반응</x:v>
      </x:c>
      <x:c r="D15" s="11"/>
      <x:c r="E15" s="11" t="n">
        <x:v>46302</x:v>
      </x:c>
      <x:c r="F15" s="8" t="str">
        <x:v>크림은 긍정적으로 평가하지만 단맛으로 재구매를 망설이는 개인 후기.</x:v>
      </x:c>
      <x:c r="G15" s="8" t="str">
        <x:v>슈크림 선호자 전부가 재구매한다는 가설의 반례. 작성일 정확히 미확인.</x:v>
      </x:c>
      <x:c r="H15" s="8" t="str">
        <x:v>https://seongminkim.tistory.com/152</x:v>
      </x:c>
    </x:row>
    <x:row r="16" ht="110" customHeight="1">
      <x:c r="A16" s="3" t="str">
        <x:v>S07</x:v>
      </x:c>
      <x:c r="B16" s="3" t="str">
        <x:v>공식</x:v>
      </x:c>
      <x:c r="C16" s="3" t="str">
        <x:v>콜드 브루 공식 소개</x:v>
      </x:c>
      <x:c r="D16" s="12"/>
      <x:c r="E16" s="12" t="n">
        <x:v>46302</x:v>
      </x:c>
      <x:c r="F16" s="3" t="str">
        <x:v>v03에서 바닐라 크림 콜드 브루 메뉴명 확인.</x:v>
      </x:c>
      <x:c r="G16" s="3" t="str">
        <x:v>웹 소개는 실시간 주문 가능 여부가 아님.</x:v>
      </x:c>
      <x:c r="H16" s="3" t="str">
        <x:v>https://www.starbucks.co.kr/store/store_coldbrew.do</x:v>
      </x:c>
    </x:row>
    <x:row r="17" ht="110" customHeight="1">
      <x:c r="A17" s="8" t="str">
        <x:v>S08</x:v>
      </x:c>
      <x:c r="B17" s="8" t="str">
        <x:v>공식</x:v>
      </x:c>
      <x:c r="C17" s="8" t="str">
        <x:v>초콜릿 크림 칩 공식 설명</x:v>
      </x:c>
      <x:c r="D17" s="11"/>
      <x:c r="E17" s="11" t="n">
        <x:v>46302</x:v>
      </x:c>
      <x:c r="F17" s="8" t="str">
        <x:v>v03에서 공식 상세 확인. 초콜릿 풍미, 블렌디드 질감. 카페인이 없는 음료는 아님.</x:v>
      </x:c>
      <x:c r="G17" s="8" t="str">
        <x:v>쌀과자 토핑과 동일한 감각으로 보지 않음.</x:v>
      </x:c>
      <x:c r="H17" s="8" t="str">
        <x:v>https://www.starbucks.co.kr/menu/drink_view.do?product_cd=168066</x:v>
      </x:c>
    </x:row>
    <x:row r="18" ht="110" customHeight="1">
      <x:c r="A18" s="3" t="str">
        <x:v>S09</x:v>
      </x:c>
      <x:c r="B18" s="3" t="str">
        <x:v>공식</x:v>
      </x:c>
      <x:c r="C18" s="3" t="str">
        <x:v>공식 음료 목록</x:v>
      </x:c>
      <x:c r="D18" s="12"/>
      <x:c r="E18" s="12" t="n">
        <x:v>46302</x:v>
      </x:c>
      <x:c r="F18" s="3" t="str">
        <x:v>v03에서 카페 라떼 등 메뉴명을 브라우저 목록으로 확인.</x:v>
      </x:c>
      <x:c r="G18" s="3" t="str">
        <x:v>동적 화면의 수집 실패를 메뉴 부재로 처리하지 않음.</x:v>
      </x:c>
      <x:c r="H18" s="3" t="str">
        <x:v>https://www.starbucks.co.kr/menu/drink_list.do</x:v>
      </x:c>
    </x:row>
    <x:row r="19" ht="110" customHeight="1">
      <x:c r="A19" s="30" t="str">
        <x:v>S13</x:v>
      </x:c>
      <x:c r="B19" s="30" t="str">
        <x:v>공식 페이지 데이터</x:v>
      </x:c>
      <x:c r="C19" s="30" t="str">
        <x:v>블렌디드 2종 수동 확인</x:v>
      </x:c>
      <x:c r="D19" s="30"/>
      <x:c r="E19" s="34" t="n">
        <x:v>46302</x:v>
      </x:c>
      <x:c r="F19" s="30" t="str">
        <x:v>딸기 요거트와 망고 패션 프루트의 이름/공식 설명 확인</x:v>
      </x:c>
      <x:c r="G19" s="30" t="str">
        <x:v>외부 제공 API 계약 아님. 지점 재고/실제 시음 미확인.</x:v>
      </x:c>
      <x:c r="H19" s="30" t="str">
        <x:v>https://www.starbucks.co.kr/upload/json/menu/W0000005.js</x:v>
      </x:c>
    </x:row>
  </x:sheetData>
  <x:mergeCells>
    <x:mergeCell ref="A2:G2"/>
    <x:mergeCell ref="A4:G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69" hidden="0" customWidth="1"/>
    <x:col min="5" max="5" width="23" hidden="0" customWidth="1"/>
  </x:cols>
  <x:sheetData>
    <x:row r="1">
      <x:c r="A1" s="3"/>
      <x:c r="B1" s="3"/>
      <x:c r="C1" s="3"/>
      <x:c r="D1" s="3"/>
      <x:c r="E1" s="3"/>
    </x:row>
    <x:row r="2" ht="38" customHeight="1">
      <x:c r="A2" s="4" t="str">
        <x:v>정기 점검 일정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42" customHeight="1">
      <x:c r="A4" s="5" t="str">
        <x:v>예약일은 기존 기록입니다. 이번에 예약 상태를 변경하거나 실행 실적을 추가하지 않았습니다. 수동 확인은 아래 별도 기록.</x:v>
      </x:c>
      <x:c r="B4" s="3"/>
      <x:c r="C4" s="3"/>
      <x:c r="D4" s="3"/>
      <x:c r="E4" s="3"/>
    </x:row>
    <x:row r="5">
      <x:c r="A5" s="3"/>
      <x:c r="B5" s="3"/>
      <x:c r="C5" s="3"/>
      <x:c r="D5" s="3"/>
      <x:c r="E5" s="3"/>
    </x:row>
    <x:row r="6" ht="36" customHeight="1">
      <x:c r="A6" s="7" t="str">
        <x:v>ID</x:v>
      </x:c>
      <x:c r="B6" s="7" t="str">
        <x:v>예정일</x:v>
      </x:c>
      <x:c r="C6" s="7" t="str">
        <x:v>실행일</x:v>
      </x:c>
      <x:c r="D6" s="7" t="str">
        <x:v>실행 기록</x:v>
      </x:c>
      <x:c r="E6" s="7" t="str">
        <x:v>상태</x:v>
      </x:c>
    </x:row>
    <x:row r="7" ht="64" customHeight="1">
      <x:c r="A7" s="8" t="str">
        <x:v>M1</x:v>
      </x:c>
      <x:c r="B7" s="11" t="n">
        <x:v>46303</x:v>
      </x:c>
      <x:c r="C7" s="13"/>
      <x:c r="D7" s="14"/>
      <x:c r="E7" s="8" t="str">
        <x:f>IF(C7="","예정",IF(D7="","근거 미입력","기록 있음"))</x:f>
        <x:v>예정</x:v>
      </x:c>
    </x:row>
    <x:row r="8" ht="64" customHeight="1">
      <x:c r="A8" s="3" t="str">
        <x:v>M2</x:v>
      </x:c>
      <x:c r="B8" s="12" t="n">
        <x:v>46307</x:v>
      </x:c>
      <x:c r="C8" s="13"/>
      <x:c r="D8" s="14"/>
      <x:c r="E8" s="3" t="str">
        <x:f>IF(C8="","예정",IF(D8="","근거 미입력","기록 있음"))</x:f>
        <x:v>예정</x:v>
      </x:c>
    </x:row>
    <x:row r="9" ht="64" customHeight="1">
      <x:c r="A9" s="8" t="str">
        <x:v>M3</x:v>
      </x:c>
      <x:c r="B9" s="11" t="n">
        <x:v>46310</x:v>
      </x:c>
      <x:c r="C9" s="13"/>
      <x:c r="D9" s="14"/>
      <x:c r="E9" s="8" t="str">
        <x:f>IF(C9="","예정",IF(D9="","근거 미입력","기록 있음"))</x:f>
        <x:v>예정</x:v>
      </x:c>
    </x:row>
    <x:row r="10" ht="64" customHeight="1">
      <x:c r="A10" s="3" t="str">
        <x:v>M4</x:v>
      </x:c>
      <x:c r="B10" s="12" t="n">
        <x:v>46314</x:v>
      </x:c>
      <x:c r="C10" s="13"/>
      <x:c r="D10" s="14"/>
      <x:c r="E10" s="3" t="str">
        <x:f>IF(C10="","예정",IF(D10="","근거 미입력","기록 있음"))</x:f>
        <x:v>예정</x:v>
      </x:c>
    </x:row>
    <x:row r="13" ht="65" customHeight="1">
      <x:c r="A13" s="39" t="str">
        <x:v>별도 수동 확인</x:v>
      </x:c>
      <x:c r="B13" s="39" t="str">
        <x:v>확인일</x:v>
      </x:c>
      <x:c r="C13" s="39" t="str">
        <x:v>실행일</x:v>
      </x:c>
      <x:c r="D13" s="39" t="str">
        <x:v>근거</x:v>
      </x:c>
      <x:c r="E13" s="39" t="str">
        <x:v>상태</x:v>
      </x:c>
    </x:row>
    <x:row r="14" ht="65" customHeight="1">
      <x:c r="A14" s="30" t="str">
        <x:v>S13</x:v>
      </x:c>
      <x:c r="B14" s="34" t="n">
        <x:v>46302</x:v>
      </x:c>
      <x:c r="C14" s="34" t="n">
        <x:v>46302</x:v>
      </x:c>
      <x:c r="D14" s="30" t="str">
        <x:v>catalog-snapshot-v08.json</x:v>
      </x:c>
      <x:c r="E14" s="30" t="str">
        <x:v>확인 완료 / 예약 실행 아님</x:v>
      </x:c>
    </x:row>
  </x:sheetData>
  <x:mergeCells>
    <x:mergeCell ref="A2:E2"/>
    <x:mergeCell ref="A4:E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15" hidden="0" customWidth="1"/>
    <x:col min="3" max="3" width="12.5" hidden="0" customWidth="1"/>
    <x:col min="4" max="4" width="12.5" hidden="0" customWidth="1"/>
    <x:col min="5" max="5" width="11.880000114440918" hidden="0" customWidth="1"/>
    <x:col min="6" max="6" width="38.75" hidden="0" customWidth="1"/>
    <x:col min="7" max="7" width="37.5" hidden="0" customWidth="1"/>
    <x:col min="8" max="8" width="37.5" hidden="0" customWidth="1"/>
  </x:cols>
  <x:sheetData>
    <x:row r="1" ht="42" customHeight="1">
      <x:c r="A1" s="25"/>
      <x:c r="B1" s="25"/>
      <x:c r="C1" s="25"/>
      <x:c r="D1" s="25"/>
      <x:c r="E1" s="25"/>
      <x:c r="F1" s="25"/>
      <x:c r="G1" s="25"/>
      <x:c r="H1" s="25"/>
    </x:row>
    <x:row r="2" ht="42" customHeight="1">
      <x:c r="A2" s="26" t="str">
        <x:v>v08 / 실제 Gemini 연결 시험</x:v>
      </x:c>
      <x:c r="B2" s="25"/>
      <x:c r="C2" s="25"/>
      <x:c r="D2" s="25"/>
      <x:c r="E2" s="25"/>
      <x:c r="F2" s="25"/>
      <x:c r="G2" s="25"/>
      <x:c r="H2" s="25"/>
    </x:row>
    <x:row r="3" ht="42" customHeight="1">
      <x:c r="A3" s="25"/>
      <x:c r="B3" s="25"/>
      <x:c r="C3" s="25"/>
      <x:c r="D3" s="25"/>
      <x:c r="E3" s="25"/>
      <x:c r="F3" s="25"/>
      <x:c r="G3" s="25"/>
      <x:c r="H3" s="25"/>
    </x:row>
    <x:row r="4" ht="42" customHeight="1">
      <x:c r="A4" s="25" t="str">
        <x:v>시험용 입력 3개 / 실제 호출 총 4회. 최초 R03 검사기 실패와 재실행을 함께 보존합니다. 고객 품질 통계가 아닙니다.</x:v>
      </x:c>
      <x:c r="B4" s="25"/>
      <x:c r="C4" s="25"/>
      <x:c r="D4" s="25"/>
      <x:c r="E4" s="25"/>
      <x:c r="F4" s="25"/>
      <x:c r="G4" s="25"/>
      <x:c r="H4" s="25"/>
    </x:row>
    <x:row r="5" ht="42" customHeight="1">
      <x:c r="A5" s="25"/>
      <x:c r="B5" s="25"/>
      <x:c r="C5" s="25"/>
      <x:c r="D5" s="25"/>
      <x:c r="E5" s="25"/>
      <x:c r="F5" s="25"/>
      <x:c r="G5" s="25"/>
      <x:c r="H5" s="25"/>
    </x:row>
    <x:row r="6" ht="42" customHeight="1">
      <x:c r="A6" s="29" t="str">
        <x:v>ID</x:v>
      </x:c>
      <x:c r="B6" s="29" t="str">
        <x:v>시도</x:v>
      </x:c>
      <x:c r="C6" s="29" t="str">
        <x:v>AI 조건 일치 1/0</x:v>
      </x:c>
      <x:c r="D6" s="29" t="str">
        <x:v>후보 일치 1/0</x:v>
      </x:c>
      <x:c r="E6" s="29" t="str">
        <x:v>시간(초)</x:v>
      </x:c>
      <x:c r="F6" s="29" t="str">
        <x:v>최종 확인 조건</x:v>
      </x:c>
      <x:c r="G6" s="29" t="str">
        <x:v>관찰</x:v>
      </x:c>
      <x:c r="H6" s="29" t="str">
        <x:v>원자료</x:v>
      </x:c>
    </x:row>
    <x:row r="7" ht="90" customHeight="1">
      <x:c r="A7" s="30" t="str">
        <x:v>R01</x:v>
      </x:c>
      <x:c r="B7" s="30" t="str">
        <x:v>최초</x:v>
      </x:c>
      <x:c r="C7" s="30" t="n">
        <x:v>1</x:v>
      </x:c>
      <x:c r="D7" s="30" t="n">
        <x:v>1</x:v>
      </x:c>
      <x:c r="E7" s="31" t="n">
        <x:v>2.233</x:v>
      </x:c>
      <x:c r="F7" s="30" t="str">
        <x:v>선호 yogurt/ice / 제외 cocoa / 쌀 no / 필수 yogurt</x:v>
      </x:c>
      <x:c r="G7" s="30" t="str">
        <x:v>추천/보류 예상 일치</x:v>
      </x:c>
      <x:c r="H7" s="30" t="str">
        <x:v>evidence/release-live-v08.json</x:v>
      </x:c>
    </x:row>
    <x:row r="8" ht="90" customHeight="1">
      <x:c r="A8" s="30" t="str">
        <x:v>R02</x:v>
      </x:c>
      <x:c r="B8" s="30" t="str">
        <x:v>최초</x:v>
      </x:c>
      <x:c r="C8" s="30" t="n">
        <x:v>1</x:v>
      </x:c>
      <x:c r="D8" s="30" t="n">
        <x:v>1</x:v>
      </x:c>
      <x:c r="E8" s="31" t="n">
        <x:v>2.287</x:v>
      </x:c>
      <x:c r="F8" s="30" t="str">
        <x:v>선호 rice / 제외 없음 / 쌀 yes / 필수 없음</x:v>
      </x:c>
      <x:c r="G8" s="30" t="str">
        <x:v>추천/보류 예상 일치</x:v>
      </x:c>
      <x:c r="H8" s="30" t="str">
        <x:v>evidence/release-live-v08.json</x:v>
      </x:c>
    </x:row>
    <x:row r="9" ht="90" customHeight="1">
      <x:c r="A9" s="30" t="str">
        <x:v>R03</x:v>
      </x:c>
      <x:c r="B9" s="30" t="str">
        <x:v>최초</x:v>
      </x:c>
      <x:c r="C9" s="30" t="n">
        <x:v>1</x:v>
      </x:c>
      <x:c r="D9" s="30" t="n">
        <x:v>0</x:v>
      </x:c>
      <x:c r="E9" s="31" t="n">
        <x:v>1.614</x:v>
      </x:c>
      <x:c r="F9" s="30" t="str">
        <x:v>최종 비교 미도달</x:v>
      </x:c>
      <x:c r="G9" s="30" t="str">
        <x:v>AI 해석 일치. 검사기가 접힌 항목을 열지 않아 중단.</x:v>
      </x:c>
      <x:c r="H9" s="30" t="str">
        <x:v>evidence/release-live-v08.json</x:v>
      </x:c>
    </x:row>
    <x:row r="10" ht="90" customHeight="1">
      <x:c r="A10" s="30" t="str">
        <x:v>R03</x:v>
      </x:c>
      <x:c r="B10" s="30" t="str">
        <x:v>절차 수정 후 1회</x:v>
      </x:c>
      <x:c r="C10" s="30" t="n">
        <x:v>1</x:v>
      </x:c>
      <x:c r="D10" s="30" t="n">
        <x:v>1</x:v>
      </x:c>
      <x:c r="E10" s="31" t="n">
        <x:v>9.063</x:v>
      </x:c>
      <x:c r="F10" s="30" t="str">
        <x:v>선호 fruit/ice / 제외 tea/cocoa / 쌀 no / 필수 ice</x:v>
      </x:c>
      <x:c r="G10" s="30" t="str">
        <x:v>사람이 바꾼 조건으로 딸기 요거트 후보</x:v>
      </x:c>
      <x:c r="H10" s="30" t="str">
        <x:v>evidence/release-live-v08-retry.json</x:v>
      </x:c>
    </x:row>
    <x:row r="11" ht="42" customHeight="1">
      <x:c r="A11" s="25"/>
      <x:c r="B11" s="25"/>
      <x:c r="C11" s="25"/>
      <x:c r="D11" s="25"/>
      <x:c r="E11" s="25"/>
      <x:c r="F11" s="25"/>
      <x:c r="G11" s="25"/>
      <x:c r="H11" s="25"/>
    </x:row>
    <x:row r="12" ht="42" customHeight="1">
      <x:c r="A12" s="25" t="str">
        <x:v>시간은 페이지 진입부터 AI 응답까지이며 과거 서버 시간과 비교하지 않습니다.</x:v>
      </x:c>
      <x:c r="B12" s="25"/>
      <x:c r="C12" s="25"/>
      <x:c r="D12" s="25"/>
      <x:c r="E12" s="25"/>
      <x:c r="F12" s="25"/>
      <x:c r="G12" s="25"/>
      <x:c r="H12" s="25"/>
    </x:row>
    <x:row r="13" ht="42" customHeight="1">
      <x:c r="A13" s="25" t="str">
        <x:v>R01: 요거트/갈린 질감 선호, 초콜릿 제외, 쌀 필수 아님 → 요거트 필수 확인 후 딸기 요거트.</x:v>
      </x:c>
      <x:c r="B13" s="25"/>
      <x:c r="C13" s="25"/>
      <x:c r="D13" s="25"/>
      <x:c r="E13" s="25"/>
      <x:c r="F13" s="25"/>
      <x:c r="G13" s="25"/>
      <x:c r="H13" s="25"/>
    </x:row>
    <x:row r="14" ht="42" customHeight="1">
      <x:c r="A14" s="25" t="str">
        <x:v>R02: 쌀 풍미 선호/필수 → 추천 보류.</x:v>
      </x:c>
      <x:c r="B14" s="25"/>
      <x:c r="C14" s="25"/>
      <x:c r="D14" s="25"/>
      <x:c r="E14" s="25"/>
      <x:c r="F14" s="25"/>
      <x:c r="G14" s="25"/>
      <x:c r="H14" s="25"/>
    </x:row>
    <x:row r="15" ht="42" customHeight="1">
      <x:c r="A15" s="25" t="str">
        <x:v>R03: 바닐라 입력 뒤 사람이 갈린 질감/과일로 변경하고 차/초콜릿 제외 → 딸기 요거트.</x:v>
      </x:c>
      <x:c r="B15" s="25"/>
      <x:c r="C15" s="25"/>
      <x:c r="D15" s="25"/>
      <x:c r="E15" s="25"/>
      <x:c r="F15" s="25"/>
      <x:c r="G15" s="25"/>
      <x:c r="H15" s="25"/>
    </x:row>
    <x:row r="16" ht="42" customHeight="1">
      <x:c r="A16" s="25" t="str">
        <x:v>신규 태그 fruit/yogurt, 프롬프트 taste-v3-fruit-yogurt. 이전 22/24는 현재 성능이 아닙니다.</x:v>
      </x:c>
      <x:c r="B16" s="25"/>
      <x:c r="C16" s="25"/>
      <x:c r="D16" s="25"/>
      <x:c r="E16" s="25"/>
      <x:c r="F16" s="25"/>
      <x:c r="G16" s="25"/>
      <x:c r="H16" s="25"/>
    </x:row>
    <x:row r="17" ht="42" customHeight="1">
      <x:c r="A17" s="25" t="str">
        <x:v>실제 고객 0명. 시음 만족도와 구매 효과는 측정하지 않았습니다.</x:v>
      </x:c>
      <x:c r="B17" s="25"/>
      <x:c r="C17" s="25"/>
      <x:c r="D17" s="25"/>
      <x:c r="E17" s="25"/>
      <x:c r="F17" s="25"/>
      <x:c r="G17" s="25"/>
      <x:c r="H17" s="25"/>
    </x:row>
  </x:sheetData>
  <x:mergeCells>
    <x:mergeCell ref="A2:H2"/>
    <x:mergeCell ref="A4:H4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  <x:tableParts count="1">
    <x:tablePart xmlns:r="http://schemas.openxmlformats.org/officeDocument/2006/relationships" r:id="R9c5fc33172744bfe"/>
  </x:tableParts>
</x:worksheet>
</file>